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s" sheetId="1" state="visible" r:id="rId2"/>
    <sheet name="Controls" sheetId="2" state="visible" r:id="rId3"/>
    <sheet name="Dependencies" sheetId="3" state="visible" r:id="rId4"/>
    <sheet name="Dependency Groups" sheetId="4" state="visible" r:id="rId5"/>
    <sheet name="Evidence" sheetId="5" state="visible" r:id="rId6"/>
    <sheet name="Centrality" sheetId="6" state="visible" r:id="rId7"/>
    <sheet name="Overview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<sst xmlns="http://schemas.openxmlformats.org/spreadsheetml/2006/main" count="1083" uniqueCount="502">
  <si>
    <t xml:space="preserve">Dependency Types</t>
  </si>
  <si>
    <t xml:space="preserve">Logic</t>
  </si>
  <si>
    <t xml:space="preserve">Impact</t>
  </si>
  <si>
    <t xml:space="preserve">Confidence</t>
  </si>
  <si>
    <t xml:space="preserve">Interpretation Type</t>
  </si>
  <si>
    <t xml:space="preserve">Status</t>
  </si>
  <si>
    <t xml:space="preserve">Scale Sensitivity</t>
  </si>
  <si>
    <t xml:space="preserve">Evidence Values</t>
  </si>
  <si>
    <t xml:space="preserve">Prerequisite</t>
  </si>
  <si>
    <t xml:space="preserve">Direct</t>
  </si>
  <si>
    <t xml:space="preserve">High</t>
  </si>
  <si>
    <t xml:space="preserve">Standard-supported</t>
  </si>
  <si>
    <t xml:space="preserve">Draft</t>
  </si>
  <si>
    <t xml:space="preserve">Universal</t>
  </si>
  <si>
    <t xml:space="preserve">Yes</t>
  </si>
  <si>
    <t xml:space="preserve">Data</t>
  </si>
  <si>
    <t xml:space="preserve">AND</t>
  </si>
  <si>
    <t xml:space="preserve">Medium</t>
  </si>
  <si>
    <t xml:space="preserve">Professional interpretation</t>
  </si>
  <si>
    <t xml:space="preserve">Reviewed</t>
  </si>
  <si>
    <t xml:space="preserve">Scaling-sensitive</t>
  </si>
  <si>
    <t xml:space="preserve">Partial</t>
  </si>
  <si>
    <t xml:space="preserve">Operational</t>
  </si>
  <si>
    <t xml:space="preserve">OR</t>
  </si>
  <si>
    <t xml:space="preserve">Low</t>
  </si>
  <si>
    <t xml:space="preserve">Organisation-specific</t>
  </si>
  <si>
    <t xml:space="preserve">Validated</t>
  </si>
  <si>
    <t xml:space="preserve">Complex-environment</t>
  </si>
  <si>
    <t xml:space="preserve">No</t>
  </si>
  <si>
    <t xml:space="preserve">Evidence</t>
  </si>
  <si>
    <t xml:space="preserve">Hypothesis</t>
  </si>
  <si>
    <t xml:space="preserve">Regulated/high-risk</t>
  </si>
  <si>
    <t xml:space="preserve">Governance</t>
  </si>
  <si>
    <t xml:space="preserve">Risk</t>
  </si>
  <si>
    <t xml:space="preserve">Control ID</t>
  </si>
  <si>
    <t xml:space="preserve">Control name</t>
  </si>
  <si>
    <t xml:space="preserve">Source</t>
  </si>
  <si>
    <t xml:space="preserve">Control category</t>
  </si>
  <si>
    <t xml:space="preserve">FAIR-CAM functions</t>
  </si>
  <si>
    <t xml:space="preserve">Scale sensitivity</t>
  </si>
  <si>
    <t xml:space="preserve">Plain-language description</t>
  </si>
  <si>
    <t xml:space="preserve">4.3</t>
  </si>
  <si>
    <t xml:space="preserve">Determining the scope of the ISMS</t>
  </si>
  <si>
    <t xml:space="preserve">Clause</t>
  </si>
  <si>
    <t xml:space="preserve">Governance / Foundation</t>
  </si>
  <si>
    <t xml:space="preserve">Decision Support: Define expectations; Asset data context</t>
  </si>
  <si>
    <t xml:space="preserve">Defines the organisational, technical and information boundaries within which controls must operate.</t>
  </si>
  <si>
    <t xml:space="preserve">5.3</t>
  </si>
  <si>
    <t xml:space="preserve">Organisational roles, responsibilities and authorities</t>
  </si>
  <si>
    <t xml:space="preserve">Decision Support: Define expectations; Ensure capability</t>
  </si>
  <si>
    <t xml:space="preserve">Assigns accountability, authority and responsibility for information security activities.</t>
  </si>
  <si>
    <t xml:space="preserve">6.1.2</t>
  </si>
  <si>
    <t xml:space="preserve">Information security risk assessment</t>
  </si>
  <si>
    <t xml:space="preserve">Decision Support</t>
  </si>
  <si>
    <t xml:space="preserve">Decision Support: Analysis</t>
  </si>
  <si>
    <t xml:space="preserve">Provides the risk context used to prioritise assets, controls and treatment activities.</t>
  </si>
  <si>
    <t xml:space="preserve">7.5</t>
  </si>
  <si>
    <t xml:space="preserve">Documented information</t>
  </si>
  <si>
    <t xml:space="preserve">Governance / Evidence</t>
  </si>
  <si>
    <t xml:space="preserve">Decision Support: Data; Reporting</t>
  </si>
  <si>
    <t xml:space="preserve">Controls the creation, approval, availability, integrity and maintenance of documented information.</t>
  </si>
  <si>
    <t xml:space="preserve">8.1</t>
  </si>
  <si>
    <t xml:space="preserve">Operational planning and control</t>
  </si>
  <si>
    <t xml:space="preserve">Execution / Governance</t>
  </si>
  <si>
    <t xml:space="preserve">Decision Support: Define expectations; Variance Prevention</t>
  </si>
  <si>
    <t xml:space="preserve">Turns planned requirements into controlled operational activities and managed changes.</t>
  </si>
  <si>
    <t xml:space="preserve">9.1</t>
  </si>
  <si>
    <t xml:space="preserve">Monitoring, measurement, analysis and evaluation</t>
  </si>
  <si>
    <t xml:space="preserve">Oversight</t>
  </si>
  <si>
    <t xml:space="preserve">Decision Support: Control data; Analysis; Reporting; Variance Identification</t>
  </si>
  <si>
    <t xml:space="preserve">Evaluates whether the ISMS and selected controls operate and achieve expected results.</t>
  </si>
  <si>
    <t xml:space="preserve">10.1</t>
  </si>
  <si>
    <t xml:space="preserve">Continual improvement</t>
  </si>
  <si>
    <t xml:space="preserve">Improvement</t>
  </si>
  <si>
    <t xml:space="preserve">Variance Correction: Treatment selection; Implementation</t>
  </si>
  <si>
    <t xml:space="preserve">Uses findings and performance information to correct weaknesses and improve the ISMS.</t>
  </si>
  <si>
    <t xml:space="preserve">A.5.2</t>
  </si>
  <si>
    <t xml:space="preserve">Information security roles and responsibilities</t>
  </si>
  <si>
    <t xml:space="preserve">Annex A</t>
  </si>
  <si>
    <t xml:space="preserve">Defines operational information security ownership and responsibility.</t>
  </si>
  <si>
    <t xml:space="preserve">A.5.7</t>
  </si>
  <si>
    <t xml:space="preserve">Threat intelligence</t>
  </si>
  <si>
    <t xml:space="preserve">Decision Support: Threat data; Variance Identification</t>
  </si>
  <si>
    <t xml:space="preserve">Provides information about relevant threats and changes in the threat environment.</t>
  </si>
  <si>
    <t xml:space="preserve">A.5.9</t>
  </si>
  <si>
    <t xml:space="preserve">Inventory of information and other associated assets</t>
  </si>
  <si>
    <t xml:space="preserve">Foundation / Decision Support</t>
  </si>
  <si>
    <t xml:space="preserve">Decision Support: Asset data</t>
  </si>
  <si>
    <t xml:space="preserve">Provides a maintained view of assets, ownership and other information needed to protect them.</t>
  </si>
  <si>
    <t xml:space="preserve">A.5.24</t>
  </si>
  <si>
    <t xml:space="preserve">Information security incident management planning and preparation</t>
  </si>
  <si>
    <t xml:space="preserve">Response / Governance</t>
  </si>
  <si>
    <t xml:space="preserve">Decision Support: Define expectations; Ensure capability; Loss Event Response</t>
  </si>
  <si>
    <t xml:space="preserve">Establishes roles, procedures, resources and readiness for handling security incidents.</t>
  </si>
  <si>
    <t xml:space="preserve">A.5.25</t>
  </si>
  <si>
    <t xml:space="preserve">Assessment and decision on information security events</t>
  </si>
  <si>
    <t xml:space="preserve">Detection / Decision</t>
  </si>
  <si>
    <t xml:space="preserve">Loss Event Detection: Recognition; Decision Support: Analysis</t>
  </si>
  <si>
    <t xml:space="preserve">Supports consistent assessment of events and decisions on whether they are incidents.</t>
  </si>
  <si>
    <t xml:space="preserve">A.8.8</t>
  </si>
  <si>
    <t xml:space="preserve">Management of technical vulnerabilities</t>
  </si>
  <si>
    <t xml:space="preserve">Execution / Oversight</t>
  </si>
  <si>
    <t xml:space="preserve">Variance Management: Identification and correction; Loss Event Prevention: Resistance</t>
  </si>
  <si>
    <t xml:space="preserve">Identifies, assesses, prioritises and treats technical vulnerabilities.</t>
  </si>
  <si>
    <t xml:space="preserve">A.8.9</t>
  </si>
  <si>
    <t xml:space="preserve">Configuration management</t>
  </si>
  <si>
    <t xml:space="preserve">Foundation / Execution</t>
  </si>
  <si>
    <t xml:space="preserve">Variance Prevention; Variance Identification; Variance Correction</t>
  </si>
  <si>
    <t xml:space="preserve">Establishes and maintains expected configurations and identifies unauthorised or harmful variance.</t>
  </si>
  <si>
    <t xml:space="preserve">A.8.15</t>
  </si>
  <si>
    <t xml:space="preserve">Logging</t>
  </si>
  <si>
    <t xml:space="preserve">Detection / Evidence</t>
  </si>
  <si>
    <t xml:space="preserve">Loss Event Detection: Visibility</t>
  </si>
  <si>
    <t xml:space="preserve">Creates and protects records of relevant system, user and security activity.</t>
  </si>
  <si>
    <t xml:space="preserve">A.8.16</t>
  </si>
  <si>
    <t xml:space="preserve">Monitoring activities</t>
  </si>
  <si>
    <t xml:space="preserve">Detection / Oversight</t>
  </si>
  <si>
    <t xml:space="preserve">Loss Event Detection: Monitoring and Recognition</t>
  </si>
  <si>
    <t xml:space="preserve">Reviews activity and telemetry to identify anomalous or potentially harmful behaviour.</t>
  </si>
  <si>
    <t xml:space="preserve">A.8.32</t>
  </si>
  <si>
    <t xml:space="preserve">Change management</t>
  </si>
  <si>
    <t xml:space="preserve">Variance Prevention; Variance Correction</t>
  </si>
  <si>
    <t xml:space="preserve">Ensures changes are assessed, approved, implemented, verified and traceable.</t>
  </si>
  <si>
    <t xml:space="preserve">Dependency ID</t>
  </si>
  <si>
    <t xml:space="preserve">Source control</t>
  </si>
  <si>
    <t xml:space="preserve">Target control</t>
  </si>
  <si>
    <t xml:space="preserve">Dependency type</t>
  </si>
  <si>
    <t xml:space="preserve">Dependency group ID</t>
  </si>
  <si>
    <t xml:space="preserve">Impact %</t>
  </si>
  <si>
    <t xml:space="preserve">Rationale</t>
  </si>
  <si>
    <t xml:space="preserve">Failure effect</t>
  </si>
  <si>
    <t xml:space="preserve">Interpretation type</t>
  </si>
  <si>
    <t xml:space="preserve">Assumptions</t>
  </si>
  <si>
    <t xml:space="preserve">DEP-001</t>
  </si>
  <si>
    <t xml:space="preserve">Without clear ISMS boundaries, the asset inventory cannot reliably determine which assets must be included.</t>
  </si>
  <si>
    <t xml:space="preserve">Assets outside an unclear scope may be omitted or inconsistently managed.</t>
  </si>
  <si>
    <t xml:space="preserve">The ISMS scope is used as an input to asset inventory boundaries.</t>
  </si>
  <si>
    <t xml:space="preserve">DEP-002</t>
  </si>
  <si>
    <t xml:space="preserve">Without assigned authority and accountability, the asset inventory cannot be reliably owned and maintained.</t>
  </si>
  <si>
    <t xml:space="preserve">Records become incomplete, outdated or disputed.</t>
  </si>
  <si>
    <t xml:space="preserve">Clause-level responsibilities are translated into operational ownership.</t>
  </si>
  <si>
    <t xml:space="preserve">DEP-003</t>
  </si>
  <si>
    <t xml:space="preserve">Without operational security responsibilities, asset ownership and maintenance duties are not consistently performed.</t>
  </si>
  <si>
    <t xml:space="preserve">Assets lack accountable owners and review actions are missed.</t>
  </si>
  <si>
    <t xml:space="preserve">Asset owners or equivalent accountable roles are defined.</t>
  </si>
  <si>
    <t xml:space="preserve">DEP-004</t>
  </si>
  <si>
    <t xml:space="preserve">Without controlled documented information, inventory records may not remain approved, current and traceable.</t>
  </si>
  <si>
    <t xml:space="preserve">The inventory may exist but cannot be trusted as an authoritative source.</t>
  </si>
  <si>
    <t xml:space="preserve">The inventory is treated as controlled documented information.</t>
  </si>
  <si>
    <t xml:space="preserve">DEP-005</t>
  </si>
  <si>
    <t xml:space="preserve">Without reliable asset data, risk assessment cannot consistently identify what is exposed, owned or critical.</t>
  </si>
  <si>
    <t xml:space="preserve">Risk identification and impact analysis omit or misclassify assets.</t>
  </si>
  <si>
    <t xml:space="preserve">Asset-based risk assessment is part of the organisation's method.</t>
  </si>
  <si>
    <t xml:space="preserve">DEP-006</t>
  </si>
  <si>
    <t xml:space="preserve">Without risk context, the inventory cannot reliably capture the criticality and detail needed for security decisions.</t>
  </si>
  <si>
    <t xml:space="preserve">The inventory becomes a flat list with weak prioritisation value.</t>
  </si>
  <si>
    <t xml:space="preserve">Risk assessment outputs inform asset criticality and required attributes.</t>
  </si>
  <si>
    <t xml:space="preserve">DEP-007</t>
  </si>
  <si>
    <t xml:space="preserve">Without a reliable asset inventory, vulnerability management cannot define complete assessment and remediation coverage.</t>
  </si>
  <si>
    <t xml:space="preserve">Unknown or unmanaged assets remain outside scanning and remediation.</t>
  </si>
  <si>
    <t xml:space="preserve">No equivalent automated discovery source fully replaces the inventory.</t>
  </si>
  <si>
    <t xml:space="preserve">DEP-008</t>
  </si>
  <si>
    <t xml:space="preserve">GRP-OR-001</t>
  </si>
  <si>
    <t xml:space="preserve">Vulnerability assessment activities may reveal assets that are missing from the inventory.</t>
  </si>
  <si>
    <t xml:space="preserve">Inventory gaps remain undiscovered for longer.</t>
  </si>
  <si>
    <t xml:space="preserve">Scanning reaches networks or environments where unknown assets may exist.</t>
  </si>
  <si>
    <t xml:space="preserve">DEP-009</t>
  </si>
  <si>
    <t xml:space="preserve">Without known assets and ownership, configuration baselines cannot be assigned and maintained consistently.</t>
  </si>
  <si>
    <t xml:space="preserve">Systems lack an authoritative baseline or accountable owner.</t>
  </si>
  <si>
    <t xml:space="preserve">Configuration management is implemented per asset or system class.</t>
  </si>
  <si>
    <t xml:space="preserve">DEP-010</t>
  </si>
  <si>
    <t xml:space="preserve">Configuration repositories and baseline records can provide updates and validation data for the asset inventory.</t>
  </si>
  <si>
    <t xml:space="preserve">Inventory attributes become less accurate and less technically useful.</t>
  </si>
  <si>
    <t xml:space="preserve">Configuration records include asset identifiers and ownership-relevant data.</t>
  </si>
  <si>
    <t xml:space="preserve">DEP-011</t>
  </si>
  <si>
    <t xml:space="preserve">Without asset and criticality information, logging coverage and retention priorities cannot be set consistently.</t>
  </si>
  <si>
    <t xml:space="preserve">Important systems may produce insufficient logs while low-value data consumes resources.</t>
  </si>
  <si>
    <t xml:space="preserve">Logging requirements vary by asset type or criticality.</t>
  </si>
  <si>
    <t xml:space="preserve">DEP-012</t>
  </si>
  <si>
    <t xml:space="preserve">Log sources may reveal systems or services that are absent from the inventory.</t>
  </si>
  <si>
    <t xml:space="preserve">Inventory gaps are less likely to be detected through operational telemetry.</t>
  </si>
  <si>
    <t xml:space="preserve">Log aggregation includes source identifiers that can be reconciled with the inventory.</t>
  </si>
  <si>
    <t xml:space="preserve">DEP-013</t>
  </si>
  <si>
    <t xml:space="preserve">Without reliable asset scope and criticality, monitoring cannot consistently prioritise coverage and alert handling.</t>
  </si>
  <si>
    <t xml:space="preserve">Monitoring leaves blind spots or applies equal attention to unequal assets.</t>
  </si>
  <si>
    <t xml:space="preserve">Monitoring priorities are risk- or asset-based.</t>
  </si>
  <si>
    <t xml:space="preserve">DEP-014</t>
  </si>
  <si>
    <t xml:space="preserve">Monitoring and discovery activities may identify systems or services missing from the inventory.</t>
  </si>
  <si>
    <t xml:space="preserve">Unknown assets remain unrecorded and outside formal ownership.</t>
  </si>
  <si>
    <t xml:space="preserve">Monitoring includes discovery or source reconciliation.</t>
  </si>
  <si>
    <t xml:space="preserve">DEP-015</t>
  </si>
  <si>
    <t xml:space="preserve">Without identified assets and owners, changes cannot be consistently scoped, approved and linked to affected services.</t>
  </si>
  <si>
    <t xml:space="preserve">Changes are approved without complete impact or ownership information.</t>
  </si>
  <si>
    <t xml:space="preserve">Change records reference affected assets or services.</t>
  </si>
  <si>
    <t xml:space="preserve">DEP-016</t>
  </si>
  <si>
    <t xml:space="preserve">Without change-driven inventory updates, the asset inventory cannot remain current after deployments, replacements or removals.</t>
  </si>
  <si>
    <t xml:space="preserve">The inventory drifts from the real environment.</t>
  </si>
  <si>
    <t xml:space="preserve">The change process includes an inventory update or reconciliation step.</t>
  </si>
  <si>
    <t xml:space="preserve">DEP-017</t>
  </si>
  <si>
    <t xml:space="preserve">Without relevant threat information, vulnerability management cannot prioritise exposure using active exploitation and threat capability.</t>
  </si>
  <si>
    <t xml:space="preserve">Remediation order relies too heavily on technical severity alone.</t>
  </si>
  <si>
    <t xml:space="preserve">Threat intelligence is relevant and actionable for vulnerability prioritisation.</t>
  </si>
  <si>
    <t xml:space="preserve">DEP-018</t>
  </si>
  <si>
    <t xml:space="preserve">Without threat information, monitoring cannot adapt detection logic and priorities to changes in attacker behaviour.</t>
  </si>
  <si>
    <t xml:space="preserve">Monitoring remains static while threats change.</t>
  </si>
  <si>
    <t xml:space="preserve">Threat intelligence is translated into monitoring requirements or use cases.</t>
  </si>
  <si>
    <t xml:space="preserve">DEP-019</t>
  </si>
  <si>
    <t xml:space="preserve">GRP-AND-001</t>
  </si>
  <si>
    <t xml:space="preserve">Vulnerability treatment depends on controlled changes to deploy, test and verify remediation.</t>
  </si>
  <si>
    <t xml:space="preserve">Identified vulnerabilities remain unresolved or are fixed through unsafe changes.</t>
  </si>
  <si>
    <t xml:space="preserve">Remediation changes are subject to the change process.</t>
  </si>
  <si>
    <t xml:space="preserve">DEP-020</t>
  </si>
  <si>
    <t xml:space="preserve">Without a functioning change process, vulnerability remediation cannot be reliably implemented and verified.</t>
  </si>
  <si>
    <t xml:space="preserve">Patches or configuration fixes are delayed, fail, or introduce new weaknesses.</t>
  </si>
  <si>
    <t xml:space="preserve">Emergency changes are also controlled and retrospectively reviewed.</t>
  </si>
  <si>
    <t xml:space="preserve">DEP-021</t>
  </si>
  <si>
    <t xml:space="preserve">Without configuration and version baselines, vulnerability assessment cannot reliably determine exposure or correct treatment.</t>
  </si>
  <si>
    <t xml:space="preserve">False positives, missed exposures and incorrect remediation decisions increase.</t>
  </si>
  <si>
    <t xml:space="preserve">Baselines include versions and security-relevant configuration attributes.</t>
  </si>
  <si>
    <t xml:space="preserve">DEP-022</t>
  </si>
  <si>
    <t xml:space="preserve">Vulnerability remediation changes expected configurations and should update approved baselines.</t>
  </si>
  <si>
    <t xml:space="preserve">Baselines become obsolete after security fixes.</t>
  </si>
  <si>
    <t xml:space="preserve">Remediation may include configuration changes as well as software updates.</t>
  </si>
  <si>
    <t xml:space="preserve">DEP-023</t>
  </si>
  <si>
    <t xml:space="preserve">Without controlled and verified changes, configuration baselines cannot remain authoritative.</t>
  </si>
  <si>
    <t xml:space="preserve">Unauthorised or undocumented configuration drift accumulates.</t>
  </si>
  <si>
    <t xml:space="preserve">Approved changes update configuration records or baselines.</t>
  </si>
  <si>
    <t xml:space="preserve">DEP-024</t>
  </si>
  <si>
    <t xml:space="preserve">Without a known baseline, change assessment cannot reliably determine what will change or whether the result is acceptable.</t>
  </si>
  <si>
    <t xml:space="preserve">Impact analysis and post-change verification are weakened.</t>
  </si>
  <si>
    <t xml:space="preserve">A baseline exists for the affected system or configuration class.</t>
  </si>
  <si>
    <t xml:space="preserve">DEP-025</t>
  </si>
  <si>
    <t xml:space="preserve">Without controlled logging configurations, required event sources and settings may be disabled or changed.</t>
  </si>
  <si>
    <t xml:space="preserve">Logging coverage silently degrades.</t>
  </si>
  <si>
    <t xml:space="preserve">Logging settings are part of configuration management.</t>
  </si>
  <si>
    <t xml:space="preserve">DEP-026</t>
  </si>
  <si>
    <t xml:space="preserve">GRP-AND-002</t>
  </si>
  <si>
    <t xml:space="preserve">Without sufficient activity records and telemetry, monitoring cannot reliably identify abnormal behaviour.</t>
  </si>
  <si>
    <t xml:space="preserve">Monitoring operates with blind spots or insufficient context.</t>
  </si>
  <si>
    <t xml:space="preserve">Logging is a major but not necessarily the only telemetry source.</t>
  </si>
  <si>
    <t xml:space="preserve">DEP-027</t>
  </si>
  <si>
    <t xml:space="preserve">Without monitoring outputs, security events cannot be consistently identified and submitted for assessment.</t>
  </si>
  <si>
    <t xml:space="preserve">Potential incidents remain unnoticed or are assessed too late.</t>
  </si>
  <si>
    <t xml:space="preserve">Monitoring is a primary source of events requiring assessment.</t>
  </si>
  <si>
    <t xml:space="preserve">DEP-028</t>
  </si>
  <si>
    <t xml:space="preserve">Without reliable logs, event assessment lacks evidence needed to understand activity, sequence and affected assets.</t>
  </si>
  <si>
    <t xml:space="preserve">Events are misclassified or cannot be investigated with confidence.</t>
  </si>
  <si>
    <t xml:space="preserve">Relevant logs are available, time-synchronised and protected.</t>
  </si>
  <si>
    <t xml:space="preserve">DEP-029</t>
  </si>
  <si>
    <t xml:space="preserve">Without defined incident criteria, roles and procedures, event assessment and escalation decisions are inconsistent.</t>
  </si>
  <si>
    <t xml:space="preserve">Similar events receive different classifications and escalation actions.</t>
  </si>
  <si>
    <t xml:space="preserve">Incident preparation includes event classification and escalation criteria.</t>
  </si>
  <si>
    <t xml:space="preserve">DEP-030</t>
  </si>
  <si>
    <t xml:space="preserve">Event assessment records provide feedback on whether incident criteria, roles and procedures are practical.</t>
  </si>
  <si>
    <t xml:space="preserve">Incident preparation is improved less effectively and recurring decision weaknesses persist.</t>
  </si>
  <si>
    <t xml:space="preserve">Assessment outcomes and lessons are reviewed.</t>
  </si>
  <si>
    <t xml:space="preserve">DEP-031</t>
  </si>
  <si>
    <t xml:space="preserve">Without operational planning and control, vulnerability treatment activities are not consistently scheduled, resourced and managed.</t>
  </si>
  <si>
    <t xml:space="preserve">Assessment occurs but treatment execution is inconsistent.</t>
  </si>
  <si>
    <t xml:space="preserve">The organisation treats vulnerability management as an operational process.</t>
  </si>
  <si>
    <t xml:space="preserve">DEP-032</t>
  </si>
  <si>
    <t xml:space="preserve">Without operational planning, change activities and externally provided changes are not consistently controlled.</t>
  </si>
  <si>
    <t xml:space="preserve">Changes bypass defined criteria or lack necessary resources.</t>
  </si>
  <si>
    <t xml:space="preserve">Change management is included in operational control arrangements.</t>
  </si>
  <si>
    <t xml:space="preserve">DEP-033</t>
  </si>
  <si>
    <t xml:space="preserve">Without monitoring and evaluation, the organisation cannot verify inventory completeness, accuracy and review performance.</t>
  </si>
  <si>
    <t xml:space="preserve">The inventory may be maintained but its reliability is unknown.</t>
  </si>
  <si>
    <t xml:space="preserve">Inventory quality indicators or reconciliation checks are defined.</t>
  </si>
  <si>
    <t xml:space="preserve">DEP-034</t>
  </si>
  <si>
    <t xml:space="preserve">Without measurement and evaluation, vulnerability management cannot demonstrate coverage, timeliness or treatment effectiveness.</t>
  </si>
  <si>
    <t xml:space="preserve">The process may operate without evidence that risk exposure is reducing.</t>
  </si>
  <si>
    <t xml:space="preserve">Coverage and remediation performance are measured.</t>
  </si>
  <si>
    <t xml:space="preserve">DEP-035</t>
  </si>
  <si>
    <t xml:space="preserve">Without evaluation, monitoring cannot demonstrate that use cases, alerts and response pathways remain effective.</t>
  </si>
  <si>
    <t xml:space="preserve">Monitoring activity is mistaken for effective detection.</t>
  </si>
  <si>
    <t xml:space="preserve">Detection performance and coverage are reviewed.</t>
  </si>
  <si>
    <t xml:space="preserve">DEP-036</t>
  </si>
  <si>
    <t xml:space="preserve">Without measurement and evaluation, change management cannot demonstrate success rates, exception quality or control effectiveness.</t>
  </si>
  <si>
    <t xml:space="preserve">Repeated failed or unauthorised changes remain systemic.</t>
  </si>
  <si>
    <t xml:space="preserve">Change outcomes and failures are measured.</t>
  </si>
  <si>
    <t xml:space="preserve">DEP-037</t>
  </si>
  <si>
    <t xml:space="preserve">Monitoring activities provide operational control data used in ISMS measurement and evaluation.</t>
  </si>
  <si>
    <t xml:space="preserve">Evaluation has less timely evidence of technical control performance.</t>
  </si>
  <si>
    <t xml:space="preserve">Monitoring metrics are included in ISMS evaluation.</t>
  </si>
  <si>
    <t xml:space="preserve">DEP-038</t>
  </si>
  <si>
    <t xml:space="preserve">Vulnerability data provides evidence of exposure, treatment performance and recurring weaknesses.</t>
  </si>
  <si>
    <t xml:space="preserve">ISMS evaluation has less evidence about technical risk and remediation performance.</t>
  </si>
  <si>
    <t xml:space="preserve">Vulnerability metrics are included in ISMS reporting.</t>
  </si>
  <si>
    <t xml:space="preserve">DEP-039</t>
  </si>
  <si>
    <t xml:space="preserve">Change records and outcomes provide evidence about operational control stability and failure patterns.</t>
  </si>
  <si>
    <t xml:space="preserve">ISMS evaluation misses an important source of operational risk data.</t>
  </si>
  <si>
    <t xml:space="preserve">Change metrics are included in ISMS reporting.</t>
  </si>
  <si>
    <t xml:space="preserve">DEP-040</t>
  </si>
  <si>
    <t xml:space="preserve">Without evaluated performance and findings, continual improvement cannot reliably select and prioritise corrective actions.</t>
  </si>
  <si>
    <t xml:space="preserve">Improvement becomes reactive, anecdotal or disconnected from evidence.</t>
  </si>
  <si>
    <t xml:space="preserve">Evaluation outputs feed the improvement process.</t>
  </si>
  <si>
    <t xml:space="preserve">DEP-041</t>
  </si>
  <si>
    <t xml:space="preserve">Continual improvement corrects recurring inventory weaknesses and updates the process when it no longer meets needs.</t>
  </si>
  <si>
    <t xml:space="preserve">Known inventory weaknesses persist across review cycles.</t>
  </si>
  <si>
    <t xml:space="preserve">Improvement actions can target Annex A control processes.</t>
  </si>
  <si>
    <t xml:space="preserve">DEP-042</t>
  </si>
  <si>
    <t xml:space="preserve">Continual improvement corrects recurring coverage, prioritisation and remediation weaknesses.</t>
  </si>
  <si>
    <t xml:space="preserve">Vulnerability management stagnates despite known performance gaps.</t>
  </si>
  <si>
    <t xml:space="preserve">Improvement actions include technical control processes.</t>
  </si>
  <si>
    <t xml:space="preserve">DEP-043</t>
  </si>
  <si>
    <t xml:space="preserve">Continual improvement updates monitoring when testing or incidents reveal gaps.</t>
  </si>
  <si>
    <t xml:space="preserve">Known detection weaknesses remain unresolved.</t>
  </si>
  <si>
    <t xml:space="preserve">Monitoring lessons and performance findings create improvement actions.</t>
  </si>
  <si>
    <t xml:space="preserve">DEP-044</t>
  </si>
  <si>
    <t xml:space="preserve">Without controlled records, change approvals, implementation evidence and verification results cannot remain traceable.</t>
  </si>
  <si>
    <t xml:space="preserve">The organisation cannot demonstrate what changed, why, by whom or with what result.</t>
  </si>
  <si>
    <t xml:space="preserve">Change records are controlled documented information.</t>
  </si>
  <si>
    <t xml:space="preserve">DEP-045</t>
  </si>
  <si>
    <t xml:space="preserve">Without controlled baseline information, expected configurations cannot remain approved, current and retrievable.</t>
  </si>
  <si>
    <t xml:space="preserve">Configuration baselines become unreliable or conflicting.</t>
  </si>
  <si>
    <t xml:space="preserve">Baselines and exceptions are controlled documented information.</t>
  </si>
  <si>
    <t xml:space="preserve">DEP-046</t>
  </si>
  <si>
    <t xml:space="preserve">Without assigned security and system responsibilities, vulnerability ownership and remediation decisions are inconsistent.</t>
  </si>
  <si>
    <t xml:space="preserve">Findings remain unowned or disputed.</t>
  </si>
  <si>
    <t xml:space="preserve">Responsibilities cover assessment, risk acceptance and remediation.</t>
  </si>
  <si>
    <t xml:space="preserve">DEP-047</t>
  </si>
  <si>
    <t xml:space="preserve">Without assigned monitoring and escalation responsibilities, alerts are not consistently reviewed or acted upon.</t>
  </si>
  <si>
    <t xml:space="preserve">Monitoring produces data without accountable follow-up.</t>
  </si>
  <si>
    <t xml:space="preserve">Operational and escalation responsibilities are defined.</t>
  </si>
  <si>
    <t xml:space="preserve">DEP-048</t>
  </si>
  <si>
    <t xml:space="preserve">Without assigned roles and authorities, incident preparation cannot establish reliable command, escalation and coordination.</t>
  </si>
  <si>
    <t xml:space="preserve">Incident response responsibilities conflict or remain unfilled.</t>
  </si>
  <si>
    <t xml:space="preserve">Incident roles are aligned with broader security responsibilities.</t>
  </si>
  <si>
    <t xml:space="preserve">Group ID</t>
  </si>
  <si>
    <t xml:space="preserve">Group name</t>
  </si>
  <si>
    <t xml:space="preserve">Member controls</t>
  </si>
  <si>
    <t xml:space="preserve">Target outcome</t>
  </si>
  <si>
    <t xml:space="preserve">Failure rule</t>
  </si>
  <si>
    <t xml:space="preserve">Notes</t>
  </si>
  <si>
    <t xml:space="preserve">Vulnerability remediation lifecycle</t>
  </si>
  <si>
    <t xml:space="preserve">A.5.9; A.8.8; A.8.9; A.8.32</t>
  </si>
  <si>
    <t xml:space="preserve">Reliable identification, prioritisation, implementation and verification of technical vulnerability treatment.</t>
  </si>
  <si>
    <t xml:space="preserve">Major degradation in any member weakens the end-to-end remediation lifecycle.</t>
  </si>
  <si>
    <t xml:space="preserve">Members perform different functions and are not interchangeable.</t>
  </si>
  <si>
    <t xml:space="preserve">Detection and event assessment capability</t>
  </si>
  <si>
    <t xml:space="preserve">A.8.15; A.8.16; A.5.25; A.5.24</t>
  </si>
  <si>
    <t xml:space="preserve">Reliable visibility, monitoring, recognition, assessment and escalation of security events.</t>
  </si>
  <si>
    <t xml:space="preserve">A major weakness in visibility, monitoring, assessment criteria or preparation degrades the overall capability.</t>
  </si>
  <si>
    <t xml:space="preserve">The exact telemetry mix may vary, but the functional chain remains necessary.</t>
  </si>
  <si>
    <t xml:space="preserve">Discovery of assets missing from the inventory</t>
  </si>
  <si>
    <t xml:space="preserve">A.8.8; A.8.15; A.8.16</t>
  </si>
  <si>
    <t xml:space="preserve">Independent operational activities may reveal assets or services absent from the formal inventory.</t>
  </si>
  <si>
    <t xml:space="preserve">One effective member may partially reveal inventory gaps, but coverage and confidence differ.</t>
  </si>
  <si>
    <t xml:space="preserve">This is an illustrative compensating relationship, not equivalence between controls.</t>
  </si>
  <si>
    <t xml:space="preserve">Evidence ID</t>
  </si>
  <si>
    <t xml:space="preserve">Evidence item</t>
  </si>
  <si>
    <t xml:space="preserve">Evidence type</t>
  </si>
  <si>
    <t xml:space="preserve">Proves design</t>
  </si>
  <si>
    <t xml:space="preserve">Proves operation</t>
  </si>
  <si>
    <t xml:space="preserve">Proves effectiveness</t>
  </si>
  <si>
    <t xml:space="preserve">Owner</t>
  </si>
  <si>
    <t xml:space="preserve">Review frequency</t>
  </si>
  <si>
    <t xml:space="preserve">EVD-001</t>
  </si>
  <si>
    <t xml:space="preserve">Asset management policy or inventory procedure</t>
  </si>
  <si>
    <t xml:space="preserve">Document</t>
  </si>
  <si>
    <t xml:space="preserve">Information security or asset management owner</t>
  </si>
  <si>
    <t xml:space="preserve">Annual</t>
  </si>
  <si>
    <t xml:space="preserve">Shows defined expectations, not actual completeness.</t>
  </si>
  <si>
    <t xml:space="preserve">EVD-002</t>
  </si>
  <si>
    <t xml:space="preserve">Approved asset inventory with owner, status and review data</t>
  </si>
  <si>
    <t xml:space="preserve">Record</t>
  </si>
  <si>
    <t xml:space="preserve">Asset owners / inventory custodian</t>
  </si>
  <si>
    <t xml:space="preserve">Quarterly</t>
  </si>
  <si>
    <t xml:space="preserve">Shows operation but not necessarily completeness.</t>
  </si>
  <si>
    <t xml:space="preserve">EVD-003</t>
  </si>
  <si>
    <t xml:space="preserve">Reconciliation between inventory and discovery, scan or monitoring sources</t>
  </si>
  <si>
    <t xml:space="preserve">Report</t>
  </si>
  <si>
    <t xml:space="preserve">IT / Security</t>
  </si>
  <si>
    <t xml:space="preserve">Monthly or quarterly</t>
  </si>
  <si>
    <t xml:space="preserve">Strong evidence of completeness and drift detection.</t>
  </si>
  <si>
    <t xml:space="preserve">EVD-004</t>
  </si>
  <si>
    <t xml:space="preserve">Vulnerability management procedure and prioritisation criteria</t>
  </si>
  <si>
    <t xml:space="preserve">Security owner</t>
  </si>
  <si>
    <t xml:space="preserve">Shows process design.</t>
  </si>
  <si>
    <t xml:space="preserve">EVD-005</t>
  </si>
  <si>
    <t xml:space="preserve">Vulnerability scan coverage report linked to known assets</t>
  </si>
  <si>
    <t xml:space="preserve">Security operations</t>
  </si>
  <si>
    <t xml:space="preserve">Monthly</t>
  </si>
  <si>
    <t xml:space="preserve">Coverage should be reconciled with A.5.9.</t>
  </si>
  <si>
    <t xml:space="preserve">EVD-006</t>
  </si>
  <si>
    <t xml:space="preserve">Remediation performance against defined time limits and exceptions</t>
  </si>
  <si>
    <t xml:space="preserve">System owners / Security</t>
  </si>
  <si>
    <t xml:space="preserve">Shows whether identified exposure is treated.</t>
  </si>
  <si>
    <t xml:space="preserve">EVD-007</t>
  </si>
  <si>
    <t xml:space="preserve">Approved secure configuration baselines</t>
  </si>
  <si>
    <t xml:space="preserve">Platform or system owner</t>
  </si>
  <si>
    <t xml:space="preserve">Annual and after major change</t>
  </si>
  <si>
    <t xml:space="preserve">Design evidence; deployment must be verified separately.</t>
  </si>
  <si>
    <t xml:space="preserve">EVD-008</t>
  </si>
  <si>
    <t xml:space="preserve">Configuration compliance or drift report</t>
  </si>
  <si>
    <t xml:space="preserve">IT operations / Security</t>
  </si>
  <si>
    <t xml:space="preserve">Shows variance from approved state.</t>
  </si>
  <si>
    <t xml:space="preserve">EVD-009</t>
  </si>
  <si>
    <t xml:space="preserve">Approved exceptions with owner, rationale and expiry</t>
  </si>
  <si>
    <t xml:space="preserve">Risk or system owner</t>
  </si>
  <si>
    <t xml:space="preserve">At approval and review date</t>
  </si>
  <si>
    <t xml:space="preserve">Prevents unmanaged permanent deviation.</t>
  </si>
  <si>
    <t xml:space="preserve">EVD-010</t>
  </si>
  <si>
    <t xml:space="preserve">Logging standard defining sources, events, retention and protection</t>
  </si>
  <si>
    <t xml:space="preserve">Security architecture / Operations</t>
  </si>
  <si>
    <t xml:space="preserve">Shows logging design.</t>
  </si>
  <si>
    <t xml:space="preserve">EVD-011</t>
  </si>
  <si>
    <t xml:space="preserve">Log source onboarding and coverage report</t>
  </si>
  <si>
    <t xml:space="preserve">Should be compared with asset inventory and scope.</t>
  </si>
  <si>
    <t xml:space="preserve">EVD-012</t>
  </si>
  <si>
    <t xml:space="preserve">Test showing required events are generated, time-synchronised and protected</t>
  </si>
  <si>
    <t xml:space="preserve">Test</t>
  </si>
  <si>
    <t xml:space="preserve">Quarterly and after major change</t>
  </si>
  <si>
    <t xml:space="preserve">Direct effectiveness evidence.</t>
  </si>
  <si>
    <t xml:space="preserve">EVD-013</t>
  </si>
  <si>
    <t xml:space="preserve">Monitoring use-case catalogue with ownership and escalation</t>
  </si>
  <si>
    <t xml:space="preserve">Shows planned monitoring coverage.</t>
  </si>
  <si>
    <t xml:space="preserve">EVD-014</t>
  </si>
  <si>
    <t xml:space="preserve">Alert review and escalation records</t>
  </si>
  <si>
    <t xml:space="preserve">Continuous</t>
  </si>
  <si>
    <t xml:space="preserve">Shows activity but not detection quality.</t>
  </si>
  <si>
    <t xml:space="preserve">EVD-015</t>
  </si>
  <si>
    <t xml:space="preserve">Detection test, simulation or incident-based validation results</t>
  </si>
  <si>
    <t xml:space="preserve">Security operations / Incident response</t>
  </si>
  <si>
    <t xml:space="preserve">Strong evidence that monitoring can recognise relevant activity.</t>
  </si>
  <si>
    <t xml:space="preserve">EVD-016</t>
  </si>
  <si>
    <t xml:space="preserve">Change management procedure and approval criteria</t>
  </si>
  <si>
    <t xml:space="preserve">IT service or operations owner</t>
  </si>
  <si>
    <t xml:space="preserve">Shows design.</t>
  </si>
  <si>
    <t xml:space="preserve">EVD-017</t>
  </si>
  <si>
    <t xml:space="preserve">Change record with reason, risk, approval, implementation, verification and rollback</t>
  </si>
  <si>
    <t xml:space="preserve">Change owner / Reviewer</t>
  </si>
  <si>
    <t xml:space="preserve">Per change</t>
  </si>
  <si>
    <t xml:space="preserve">Shows traceable operation.</t>
  </si>
  <si>
    <t xml:space="preserve">EVD-018</t>
  </si>
  <si>
    <t xml:space="preserve">Change success, failure, emergency and rollback trend report</t>
  </si>
  <si>
    <t xml:space="preserve">Change manager / Operations</t>
  </si>
  <si>
    <t xml:space="preserve">Shows process effectiveness and recurring weakness.</t>
  </si>
  <si>
    <t xml:space="preserve">EVD-019</t>
  </si>
  <si>
    <t xml:space="preserve">Incident response plan with roles, contacts and escalation paths</t>
  </si>
  <si>
    <t xml:space="preserve">Incident response owner</t>
  </si>
  <si>
    <t xml:space="preserve">Preparedness requires testing.</t>
  </si>
  <si>
    <t xml:space="preserve">EVD-020</t>
  </si>
  <si>
    <t xml:space="preserve">Exercise or tabletop report with actions and owners</t>
  </si>
  <si>
    <t xml:space="preserve">Shows practical readiness.</t>
  </si>
  <si>
    <t xml:space="preserve">EVD-021</t>
  </si>
  <si>
    <t xml:space="preserve">Event classification and incident declaration criteria</t>
  </si>
  <si>
    <t xml:space="preserve">Shows decision design.</t>
  </si>
  <si>
    <t xml:space="preserve">EVD-022</t>
  </si>
  <si>
    <t xml:space="preserve">Sampled event assessments showing consistent classification and escalation</t>
  </si>
  <si>
    <t xml:space="preserve">Shows operational consistency.</t>
  </si>
  <si>
    <t xml:space="preserve">Direct downstream</t>
  </si>
  <si>
    <t xml:space="preserve">Direct upstream</t>
  </si>
  <si>
    <t xml:space="preserve">Weighted outgoing impact</t>
  </si>
  <si>
    <t xml:space="preserve">High-confidence downstream</t>
  </si>
  <si>
    <t xml:space="preserve">MVP foundation score</t>
  </si>
  <si>
    <t xml:space="preserve">This is a provisional direct-dependency score, not full graph centrality. Later versions should calculate downstream reach, weighted propagation, AND-group criticality and scenario coverage.</t>
  </si>
  <si>
    <t xml:space="preserve">ISO 27001 Control Dependency Map — MVP Source of Truth</t>
  </si>
  <si>
    <t xml:space="preserve">Version 0.1 | General dependency theory | Clauses 4–10 + selected Annex A controls</t>
  </si>
  <si>
    <t xml:space="preserve">Current dataset</t>
  </si>
  <si>
    <t xml:space="preserve">Count</t>
  </si>
  <si>
    <t xml:space="preserve">Core model decisions</t>
  </si>
  <si>
    <t xml:space="preserve">Controls</t>
  </si>
  <si>
    <t xml:space="preserve">Node model</t>
  </si>
  <si>
    <t xml:space="preserve">One ISO clause or Annex A control per node</t>
  </si>
  <si>
    <t xml:space="preserve">Dependencies</t>
  </si>
  <si>
    <t xml:space="preserve">Dependency basis</t>
  </si>
  <si>
    <t xml:space="preserve">General control theory, not one risk scenario</t>
  </si>
  <si>
    <t xml:space="preserve">Dependency groups</t>
  </si>
  <si>
    <t xml:space="preserve">0 / 25 / 50 / 75 / 100 anchor points</t>
  </si>
  <si>
    <t xml:space="preserve">Evidence items</t>
  </si>
  <si>
    <t xml:space="preserve">High / Medium / Low</t>
  </si>
  <si>
    <t xml:space="preserve">Control state</t>
  </si>
  <si>
    <t xml:space="preserve">Degraded source control</t>
  </si>
  <si>
    <t xml:space="preserve">Relationships</t>
  </si>
  <si>
    <t xml:space="preserve">Directed, typed, bidirectional where justified</t>
  </si>
  <si>
    <t xml:space="preserve">Interpretation rules</t>
  </si>
  <si>
    <t xml:space="preserve">Direct, AND and OR</t>
  </si>
  <si>
    <t xml:space="preserve">Impact meaning</t>
  </si>
  <si>
    <t xml:space="preserve">Expected degradation of the target control when the source control is degraded; not total cyber-risk reduction.</t>
  </si>
  <si>
    <t xml:space="preserve">Primary output</t>
  </si>
  <si>
    <t xml:space="preserve">Structured data; interactive graph generated later</t>
  </si>
  <si>
    <t xml:space="preserve">Foundation control</t>
  </si>
  <si>
    <t xml:space="preserve">A control whose degradation causes the widest and strongest downstream degradation.</t>
  </si>
  <si>
    <t xml:space="preserve">Separate proof of design, operation and effectiveness.</t>
  </si>
  <si>
    <t xml:space="preserve">Scale</t>
  </si>
  <si>
    <t xml:space="preserve">Use scale-sensitivity labels instead of declaring controls 'for large companies only'.</t>
  </si>
  <si>
    <t xml:space="preserve">Quality rule</t>
  </si>
  <si>
    <t xml:space="preserve">Every dependency requires a clear rationale, failure effect, assumptions and confidence.</t>
  </si>
  <si>
    <t xml:space="preserve">Next review questions</t>
  </si>
  <si>
    <t xml:space="preserve">1</t>
  </si>
  <si>
    <t xml:space="preserve">Are source and target directions correct for every edge?</t>
  </si>
  <si>
    <t xml:space="preserve">2</t>
  </si>
  <si>
    <t xml:space="preserve">Is the dependency general enough to apply beyond one product or architecture?</t>
  </si>
  <si>
    <t xml:space="preserve">3</t>
  </si>
  <si>
    <t xml:space="preserve">Is the impact score defensible using the anchor definitions?</t>
  </si>
  <si>
    <t xml:space="preserve">4</t>
  </si>
  <si>
    <t xml:space="preserve">Does the evidence prove design, operation or actual effectiveness?</t>
  </si>
  <si>
    <t xml:space="preserve">5</t>
  </si>
  <si>
    <t xml:space="preserve">Which dependencies should be standard-supported rather than professional interpretation?</t>
  </si>
  <si>
    <t xml:space="preserve">6</t>
  </si>
  <si>
    <t xml:space="preserve">Which visual interaction should be prioritised: node impact, filtering, evidence cards or degradation simulation?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</si>
</sst>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7F6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  <fill>
      <patternFill patternType="solid">
        <fgColor rgb="FFFFF2CC"/>
        <bgColor rgb="FFFFE699"/>
      </patternFill>
    </fill>
    <fill>
      <patternFill patternType="solid">
        <fgColor rgb="FF17365D"/>
        <bgColor rgb="FF333399"/>
      </patternFill>
    </fill>
    <fill>
      <patternFill patternType="solid">
        <fgColor rgb="FFD9EA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4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5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2">
    <dxf>
      <fill>
        <patternFill patternType="solid">
          <fgColor rgb="FF2F75B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375623"/>
        </patternFill>
      </fill>
    </dxf>
    <dxf>
      <fill>
        <patternFill patternType="solid">
          <fgColor rgb="FF7F6000"/>
        </patternFill>
      </fill>
    </dxf>
    <dxf>
      <fill>
        <patternFill patternType="solid">
          <fgColor rgb="FF9C0006"/>
        </patternFill>
      </fill>
    </dxf>
    <dxf>
      <font>
        <b val="1"/>
        <color rgb="FF375623"/>
      </font>
      <fill>
        <patternFill>
          <bgColor rgb="FFC6E0B4"/>
        </patternFill>
      </fill>
    </dxf>
    <dxf>
      <font>
        <b val="1"/>
        <color rgb="FF7F6000"/>
      </font>
      <fill>
        <patternFill>
          <bgColor rgb="FFFFE699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CCCC"/>
      <rgbColor rgb="FF2F75B5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MVP foundation score by control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"Foundation score"</c:f>
              <c:strCache>
                <c:ptCount val="1"/>
                <c:pt idx="0">
                  <c:v>Foundation score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Centrality!$A$2:$A$18</c:f>
              <c:strCache>
                <c:ptCount val="17"/>
                <c:pt idx="0">
                  <c:v>4.3</c:v>
                </c:pt>
                <c:pt idx="1">
                  <c:v>5.3</c:v>
                </c:pt>
                <c:pt idx="2">
                  <c:v>6.1.2</c:v>
                </c:pt>
                <c:pt idx="3">
                  <c:v>7.5</c:v>
                </c:pt>
                <c:pt idx="4">
                  <c:v>8.1</c:v>
                </c:pt>
                <c:pt idx="5">
                  <c:v>9.1</c:v>
                </c:pt>
                <c:pt idx="6">
                  <c:v>10.1</c:v>
                </c:pt>
                <c:pt idx="7">
                  <c:v>A.5.2</c:v>
                </c:pt>
                <c:pt idx="8">
                  <c:v>A.5.7</c:v>
                </c:pt>
                <c:pt idx="9">
                  <c:v>A.5.9</c:v>
                </c:pt>
                <c:pt idx="10">
                  <c:v>A.5.24</c:v>
                </c:pt>
                <c:pt idx="11">
                  <c:v>A.5.25</c:v>
                </c:pt>
                <c:pt idx="12">
                  <c:v>A.8.8</c:v>
                </c:pt>
                <c:pt idx="13">
                  <c:v>A.8.9</c:v>
                </c:pt>
                <c:pt idx="14">
                  <c:v>A.8.15</c:v>
                </c:pt>
                <c:pt idx="15">
                  <c:v>A.8.16</c:v>
                </c:pt>
                <c:pt idx="16">
                  <c:v>A.8.32</c:v>
                </c:pt>
              </c:strCache>
            </c:strRef>
          </c:cat>
          <c:val>
            <c:numRef>
              <c:f>Centrality!$G$2:$G$18</c:f>
              <c:numCache>
                <c:formatCode>General</c:formatCode>
                <c:ptCount val="17"/>
                <c:pt idx="0">
                  <c:v>19</c:v>
                </c:pt>
                <c:pt idx="1">
                  <c:v>19</c:v>
                </c:pt>
                <c:pt idx="2">
                  <c:v>13</c:v>
                </c:pt>
                <c:pt idx="3">
                  <c:v>47</c:v>
                </c:pt>
                <c:pt idx="4">
                  <c:v>31</c:v>
                </c:pt>
                <c:pt idx="5">
                  <c:v>81</c:v>
                </c:pt>
                <c:pt idx="6">
                  <c:v>28</c:v>
                </c:pt>
                <c:pt idx="7">
                  <c:v>69</c:v>
                </c:pt>
                <c:pt idx="8">
                  <c:v>31</c:v>
                </c:pt>
                <c:pt idx="9">
                  <c:v>94</c:v>
                </c:pt>
                <c:pt idx="10">
                  <c:v>19</c:v>
                </c:pt>
                <c:pt idx="11">
                  <c:v>9</c:v>
                </c:pt>
                <c:pt idx="12">
                  <c:v>46</c:v>
                </c:pt>
                <c:pt idx="13">
                  <c:v>53</c:v>
                </c:pt>
                <c:pt idx="14">
                  <c:v>41</c:v>
                </c:pt>
                <c:pt idx="15">
                  <c:v>41</c:v>
                </c:pt>
                <c:pt idx="16">
                  <c:v>62</c:v>
                </c:pt>
              </c:numCache>
            </c:numRef>
          </c:val>
        </c:ser>
        <c:gapWidth val="150"/>
        <c:overlap val="0"/>
        <c:axId val="5315564"/>
        <c:axId val="6193005"/>
      </c:barChart>
      <c:catAx>
        <c:axId val="531556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193005"/>
        <c:crosses val="autoZero"/>
        <c:auto val="1"/>
        <c:lblAlgn val="ctr"/>
        <c:lblOffset val="100"/>
        <c:noMultiLvlLbl val="0"/>
      </c:catAx>
      <c:valAx>
        <c:axId val="619300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3155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16</xdr:col>
      <xdr:colOff>611280</xdr:colOff>
      <xdr:row>23</xdr:row>
      <xdr:rowOff>190080</xdr:rowOff>
    </xdr:to>
    <xdr:graphicFrame>
      <xdr:nvGraphicFramePr>
        <xdr:cNvPr id="0" name="Chart"/>
        <xdr:cNvGraphicFramePr/>
      </xdr:nvGraphicFramePr>
      <xdr:xfrm>
        <a:off x="10696680" y="1226160"/>
        <a:ext cx="5503320" cy="520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entralityTable" displayName="CentralityTable" ref="A1:G18" headerRowCount="1" totalsRowCount="0" totalsRowShown="0">
  <tableColumns count="7">
    <tableColumn id="1" name="Control ID"/>
    <tableColumn id="2" name="Control name"/>
    <tableColumn id="3" name="Direct downstream"/>
    <tableColumn id="4" name="Direct upstream"/>
    <tableColumn id="5" name="Weighted outgoing impact"/>
    <tableColumn id="6" name="High-confidence downstream"/>
    <tableColumn id="7" name="MVP foundation score"/>
  </tableColumns>
</table>
</file>

<file path=xl/tables/table2.xml><?xml version="1.0" encoding="utf-8"?>
<table xmlns="http://schemas.openxmlformats.org/spreadsheetml/2006/main" id="2" name="ControlsTable" displayName="ControlsTable" ref="A1:H18" headerRowCount="1" totalsRowCount="0" totalsRowShown="0">
  <tableColumns count="8">
    <tableColumn id="1" name="Control ID"/>
    <tableColumn id="2" name="Control name"/>
    <tableColumn id="3" name="Source"/>
    <tableColumn id="4" name="Control category"/>
    <tableColumn id="5" name="FAIR-CAM functions"/>
    <tableColumn id="6" name="Scale sensitivity"/>
    <tableColumn id="7" name="Plain-language description"/>
    <tableColumn id="8" name="Status"/>
  </tableColumns>
</table>
</file>

<file path=xl/tables/table3.xml><?xml version="1.0" encoding="utf-8"?>
<table xmlns="http://schemas.openxmlformats.org/spreadsheetml/2006/main" id="3" name="DependenciesTable" displayName="DependenciesTable" ref="A1:M49" headerRowCount="1" totalsRowCount="0" totalsRowShown="0">
  <tableColumns count="13">
    <tableColumn id="1" name="Dependency ID"/>
    <tableColumn id="2" name="Source control"/>
    <tableColumn id="3" name="Target control"/>
    <tableColumn id="4" name="Dependency type"/>
    <tableColumn id="5" name="Logic"/>
    <tableColumn id="6" name="Dependency group ID"/>
    <tableColumn id="7" name="Impact %"/>
    <tableColumn id="8" name="Confidence"/>
    <tableColumn id="9" name="Rationale"/>
    <tableColumn id="10" name="Failure effect"/>
    <tableColumn id="11" name="Interpretation type"/>
    <tableColumn id="12" name="Assumptions"/>
    <tableColumn id="13" name="Status"/>
  </tableColumns>
</table>
</file>

<file path=xl/tables/table4.xml><?xml version="1.0" encoding="utf-8"?>
<table xmlns="http://schemas.openxmlformats.org/spreadsheetml/2006/main" id="4" name="DependencyGroupsTable" displayName="DependencyGroupsTable" ref="A1:H4" headerRowCount="1" totalsRowCount="0" totalsRowShown="0">
  <tableColumns count="8">
    <tableColumn id="1" name="Group ID"/>
    <tableColumn id="2" name="Group name"/>
    <tableColumn id="3" name="Logic"/>
    <tableColumn id="4" name="Member controls"/>
    <tableColumn id="5" name="Target outcome"/>
    <tableColumn id="6" name="Failure rule"/>
    <tableColumn id="7" name="Notes"/>
    <tableColumn id="8" name="Status"/>
  </tableColumns>
</table>
</file>

<file path=xl/tables/table5.xml><?xml version="1.0" encoding="utf-8"?>
<table xmlns="http://schemas.openxmlformats.org/spreadsheetml/2006/main" id="5" name="EvidenceTable" displayName="EvidenceTable" ref="A1:J23" headerRowCount="1" totalsRowCount="0" totalsRowShown="0">
  <tableColumns count="10">
    <tableColumn id="1" name="Evidence ID"/>
    <tableColumn id="2" name="Control ID"/>
    <tableColumn id="3" name="Evidence item"/>
    <tableColumn id="4" name="Evidence type"/>
    <tableColumn id="5" name="Proves design"/>
    <tableColumn id="6" name="Proves operation"/>
    <tableColumn id="7" name="Proves effectiveness"/>
    <tableColumn id="8" name="Owner"/>
    <tableColumn id="9" name="Review frequency"/>
    <tableColumn id="10" name="Notes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7.24609375" defaultRowHeight="12.8" zeroHeight="false" outlineLevelRow="0" outlineLevelCol="0"/>
  <cols>
    <col collapsed="false" customWidth="true" hidden="false" outlineLevel="0" max="5" min="5" style="0" width="21.13"/>
    <col collapsed="false" customWidth="true" hidden="false" outlineLevel="0" max="7" min="7" style="0" width="21.42"/>
    <col collapsed="false" customWidth="true" hidden="false" outlineLevel="0" max="8" min="8" style="0" width="22.39"/>
  </cols>
  <sheetData>
    <row r="1" customFormat="false" ht="3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8</v>
      </c>
      <c r="B2" s="2" t="s">
        <v>9</v>
      </c>
      <c r="C2" s="2" t="n">
        <v>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35.05" hidden="false" customHeight="false" outlineLevel="0" collapsed="false">
      <c r="A3" s="2" t="s">
        <v>15</v>
      </c>
      <c r="B3" s="2" t="s">
        <v>16</v>
      </c>
      <c r="C3" s="2" t="n">
        <v>25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customFormat="false" ht="35.05" hidden="false" customHeight="false" outlineLevel="0" collapsed="false">
      <c r="A4" s="2" t="s">
        <v>22</v>
      </c>
      <c r="B4" s="2" t="s">
        <v>23</v>
      </c>
      <c r="C4" s="2" t="n">
        <v>50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customFormat="false" ht="23.85" hidden="false" customHeight="false" outlineLevel="0" collapsed="false">
      <c r="A5" s="2" t="s">
        <v>29</v>
      </c>
      <c r="B5" s="2"/>
      <c r="C5" s="2" t="n">
        <v>75</v>
      </c>
      <c r="D5" s="2"/>
      <c r="E5" s="2" t="s">
        <v>30</v>
      </c>
      <c r="F5" s="2"/>
      <c r="G5" s="2" t="s">
        <v>31</v>
      </c>
      <c r="H5" s="2"/>
    </row>
    <row r="6" customFormat="false" ht="35.05" hidden="false" customHeight="false" outlineLevel="0" collapsed="false">
      <c r="A6" s="2" t="s">
        <v>32</v>
      </c>
      <c r="B6" s="2"/>
      <c r="C6" s="2" t="n">
        <v>100</v>
      </c>
      <c r="D6" s="2"/>
      <c r="E6" s="2"/>
      <c r="F6" s="2"/>
      <c r="G6" s="2"/>
      <c r="H6" s="2"/>
    </row>
    <row r="7" customFormat="false" ht="12.8" hidden="false" customHeight="false" outlineLevel="0" collapsed="false">
      <c r="A7" s="0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7" min="7" style="0" width="48"/>
    <col collapsed="false" customWidth="true" hidden="false" outlineLevel="0" max="8" min="8" style="0" width="12"/>
  </cols>
  <sheetData>
    <row r="1" customFormat="false" ht="36" hidden="false" customHeight="true" outlineLevel="0" collapsed="false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5</v>
      </c>
    </row>
    <row r="2" customFormat="false" ht="36" hidden="false" customHeight="true" outlineLevel="0" collapsed="false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13</v>
      </c>
      <c r="G2" s="4" t="s">
        <v>46</v>
      </c>
      <c r="H2" s="4" t="s">
        <v>12</v>
      </c>
    </row>
    <row r="3" customFormat="false" ht="36" hidden="false" customHeight="true" outlineLevel="0" collapsed="false">
      <c r="A3" s="4" t="s">
        <v>47</v>
      </c>
      <c r="B3" s="4" t="s">
        <v>48</v>
      </c>
      <c r="C3" s="4" t="s">
        <v>43</v>
      </c>
      <c r="D3" s="4" t="s">
        <v>44</v>
      </c>
      <c r="E3" s="4" t="s">
        <v>49</v>
      </c>
      <c r="F3" s="4" t="s">
        <v>13</v>
      </c>
      <c r="G3" s="4" t="s">
        <v>50</v>
      </c>
      <c r="H3" s="4" t="s">
        <v>12</v>
      </c>
    </row>
    <row r="4" customFormat="false" ht="36" hidden="false" customHeight="true" outlineLevel="0" collapsed="false">
      <c r="A4" s="4" t="s">
        <v>51</v>
      </c>
      <c r="B4" s="4" t="s">
        <v>52</v>
      </c>
      <c r="C4" s="4" t="s">
        <v>43</v>
      </c>
      <c r="D4" s="4" t="s">
        <v>53</v>
      </c>
      <c r="E4" s="4" t="s">
        <v>54</v>
      </c>
      <c r="F4" s="4" t="s">
        <v>13</v>
      </c>
      <c r="G4" s="4" t="s">
        <v>55</v>
      </c>
      <c r="H4" s="4" t="s">
        <v>12</v>
      </c>
    </row>
    <row r="5" customFormat="false" ht="36" hidden="false" customHeight="true" outlineLevel="0" collapsed="false">
      <c r="A5" s="4" t="s">
        <v>56</v>
      </c>
      <c r="B5" s="4" t="s">
        <v>57</v>
      </c>
      <c r="C5" s="4" t="s">
        <v>43</v>
      </c>
      <c r="D5" s="4" t="s">
        <v>58</v>
      </c>
      <c r="E5" s="4" t="s">
        <v>59</v>
      </c>
      <c r="F5" s="4" t="s">
        <v>13</v>
      </c>
      <c r="G5" s="4" t="s">
        <v>60</v>
      </c>
      <c r="H5" s="4" t="s">
        <v>12</v>
      </c>
    </row>
    <row r="6" customFormat="false" ht="36" hidden="false" customHeight="true" outlineLevel="0" collapsed="false">
      <c r="A6" s="4" t="s">
        <v>61</v>
      </c>
      <c r="B6" s="4" t="s">
        <v>62</v>
      </c>
      <c r="C6" s="4" t="s">
        <v>43</v>
      </c>
      <c r="D6" s="4" t="s">
        <v>63</v>
      </c>
      <c r="E6" s="4" t="s">
        <v>64</v>
      </c>
      <c r="F6" s="4" t="s">
        <v>13</v>
      </c>
      <c r="G6" s="4" t="s">
        <v>65</v>
      </c>
      <c r="H6" s="4" t="s">
        <v>12</v>
      </c>
    </row>
    <row r="7" customFormat="false" ht="36" hidden="false" customHeight="true" outlineLevel="0" collapsed="false">
      <c r="A7" s="4" t="s">
        <v>66</v>
      </c>
      <c r="B7" s="4" t="s">
        <v>67</v>
      </c>
      <c r="C7" s="4" t="s">
        <v>43</v>
      </c>
      <c r="D7" s="4" t="s">
        <v>68</v>
      </c>
      <c r="E7" s="4" t="s">
        <v>69</v>
      </c>
      <c r="F7" s="4" t="s">
        <v>13</v>
      </c>
      <c r="G7" s="4" t="s">
        <v>70</v>
      </c>
      <c r="H7" s="4" t="s">
        <v>12</v>
      </c>
    </row>
    <row r="8" customFormat="false" ht="36" hidden="false" customHeight="true" outlineLevel="0" collapsed="false">
      <c r="A8" s="4" t="s">
        <v>71</v>
      </c>
      <c r="B8" s="4" t="s">
        <v>72</v>
      </c>
      <c r="C8" s="4" t="s">
        <v>43</v>
      </c>
      <c r="D8" s="4" t="s">
        <v>73</v>
      </c>
      <c r="E8" s="4" t="s">
        <v>74</v>
      </c>
      <c r="F8" s="4" t="s">
        <v>13</v>
      </c>
      <c r="G8" s="4" t="s">
        <v>75</v>
      </c>
      <c r="H8" s="4" t="s">
        <v>12</v>
      </c>
    </row>
    <row r="9" customFormat="false" ht="36" hidden="false" customHeight="true" outlineLevel="0" collapsed="false">
      <c r="A9" s="4" t="s">
        <v>76</v>
      </c>
      <c r="B9" s="4" t="s">
        <v>77</v>
      </c>
      <c r="C9" s="4" t="s">
        <v>78</v>
      </c>
      <c r="D9" s="4" t="s">
        <v>44</v>
      </c>
      <c r="E9" s="4" t="s">
        <v>49</v>
      </c>
      <c r="F9" s="4" t="s">
        <v>13</v>
      </c>
      <c r="G9" s="4" t="s">
        <v>79</v>
      </c>
      <c r="H9" s="4" t="s">
        <v>12</v>
      </c>
    </row>
    <row r="10" customFormat="false" ht="36" hidden="false" customHeight="true" outlineLevel="0" collapsed="false">
      <c r="A10" s="4" t="s">
        <v>80</v>
      </c>
      <c r="B10" s="4" t="s">
        <v>81</v>
      </c>
      <c r="C10" s="4" t="s">
        <v>78</v>
      </c>
      <c r="D10" s="4" t="s">
        <v>53</v>
      </c>
      <c r="E10" s="4" t="s">
        <v>82</v>
      </c>
      <c r="F10" s="4" t="s">
        <v>20</v>
      </c>
      <c r="G10" s="4" t="s">
        <v>83</v>
      </c>
      <c r="H10" s="4" t="s">
        <v>12</v>
      </c>
    </row>
    <row r="11" customFormat="false" ht="36" hidden="false" customHeight="true" outlineLevel="0" collapsed="false">
      <c r="A11" s="4" t="s">
        <v>84</v>
      </c>
      <c r="B11" s="4" t="s">
        <v>85</v>
      </c>
      <c r="C11" s="4" t="s">
        <v>78</v>
      </c>
      <c r="D11" s="4" t="s">
        <v>86</v>
      </c>
      <c r="E11" s="4" t="s">
        <v>87</v>
      </c>
      <c r="F11" s="4" t="s">
        <v>13</v>
      </c>
      <c r="G11" s="4" t="s">
        <v>88</v>
      </c>
      <c r="H11" s="4" t="s">
        <v>12</v>
      </c>
    </row>
    <row r="12" customFormat="false" ht="36" hidden="false" customHeight="true" outlineLevel="0" collapsed="false">
      <c r="A12" s="4" t="s">
        <v>89</v>
      </c>
      <c r="B12" s="4" t="s">
        <v>90</v>
      </c>
      <c r="C12" s="4" t="s">
        <v>78</v>
      </c>
      <c r="D12" s="4" t="s">
        <v>91</v>
      </c>
      <c r="E12" s="4" t="s">
        <v>92</v>
      </c>
      <c r="F12" s="4" t="s">
        <v>20</v>
      </c>
      <c r="G12" s="4" t="s">
        <v>93</v>
      </c>
      <c r="H12" s="4" t="s">
        <v>12</v>
      </c>
    </row>
    <row r="13" customFormat="false" ht="36" hidden="false" customHeight="true" outlineLevel="0" collapsed="false">
      <c r="A13" s="4" t="s">
        <v>94</v>
      </c>
      <c r="B13" s="4" t="s">
        <v>95</v>
      </c>
      <c r="C13" s="4" t="s">
        <v>78</v>
      </c>
      <c r="D13" s="4" t="s">
        <v>96</v>
      </c>
      <c r="E13" s="4" t="s">
        <v>97</v>
      </c>
      <c r="F13" s="4" t="s">
        <v>20</v>
      </c>
      <c r="G13" s="4" t="s">
        <v>98</v>
      </c>
      <c r="H13" s="4" t="s">
        <v>12</v>
      </c>
    </row>
    <row r="14" customFormat="false" ht="36" hidden="false" customHeight="true" outlineLevel="0" collapsed="false">
      <c r="A14" s="4" t="s">
        <v>99</v>
      </c>
      <c r="B14" s="4" t="s">
        <v>100</v>
      </c>
      <c r="C14" s="4" t="s">
        <v>78</v>
      </c>
      <c r="D14" s="4" t="s">
        <v>101</v>
      </c>
      <c r="E14" s="4" t="s">
        <v>102</v>
      </c>
      <c r="F14" s="4" t="s">
        <v>20</v>
      </c>
      <c r="G14" s="4" t="s">
        <v>103</v>
      </c>
      <c r="H14" s="4" t="s">
        <v>12</v>
      </c>
    </row>
    <row r="15" customFormat="false" ht="36" hidden="false" customHeight="true" outlineLevel="0" collapsed="false">
      <c r="A15" s="4" t="s">
        <v>104</v>
      </c>
      <c r="B15" s="4" t="s">
        <v>105</v>
      </c>
      <c r="C15" s="4" t="s">
        <v>78</v>
      </c>
      <c r="D15" s="4" t="s">
        <v>106</v>
      </c>
      <c r="E15" s="4" t="s">
        <v>107</v>
      </c>
      <c r="F15" s="4" t="s">
        <v>27</v>
      </c>
      <c r="G15" s="4" t="s">
        <v>108</v>
      </c>
      <c r="H15" s="4" t="s">
        <v>12</v>
      </c>
    </row>
    <row r="16" customFormat="false" ht="36" hidden="false" customHeight="true" outlineLevel="0" collapsed="false">
      <c r="A16" s="4" t="s">
        <v>109</v>
      </c>
      <c r="B16" s="4" t="s">
        <v>110</v>
      </c>
      <c r="C16" s="4" t="s">
        <v>78</v>
      </c>
      <c r="D16" s="4" t="s">
        <v>111</v>
      </c>
      <c r="E16" s="4" t="s">
        <v>112</v>
      </c>
      <c r="F16" s="4" t="s">
        <v>20</v>
      </c>
      <c r="G16" s="4" t="s">
        <v>113</v>
      </c>
      <c r="H16" s="4" t="s">
        <v>12</v>
      </c>
    </row>
    <row r="17" customFormat="false" ht="36" hidden="false" customHeight="true" outlineLevel="0" collapsed="false">
      <c r="A17" s="4" t="s">
        <v>114</v>
      </c>
      <c r="B17" s="4" t="s">
        <v>115</v>
      </c>
      <c r="C17" s="4" t="s">
        <v>78</v>
      </c>
      <c r="D17" s="4" t="s">
        <v>116</v>
      </c>
      <c r="E17" s="4" t="s">
        <v>117</v>
      </c>
      <c r="F17" s="4" t="s">
        <v>27</v>
      </c>
      <c r="G17" s="4" t="s">
        <v>118</v>
      </c>
      <c r="H17" s="4" t="s">
        <v>12</v>
      </c>
    </row>
    <row r="18" customFormat="false" ht="36" hidden="false" customHeight="true" outlineLevel="0" collapsed="false">
      <c r="A18" s="4" t="s">
        <v>119</v>
      </c>
      <c r="B18" s="4" t="s">
        <v>120</v>
      </c>
      <c r="C18" s="4" t="s">
        <v>78</v>
      </c>
      <c r="D18" s="4" t="s">
        <v>63</v>
      </c>
      <c r="E18" s="4" t="s">
        <v>121</v>
      </c>
      <c r="F18" s="4" t="s">
        <v>20</v>
      </c>
      <c r="G18" s="4" t="s">
        <v>122</v>
      </c>
      <c r="H18" s="4" t="s">
        <v>12</v>
      </c>
    </row>
  </sheetData>
  <dataValidations count="2">
    <dataValidation allowBlank="false" errorStyle="stop" operator="between" showDropDown="false" showErrorMessage="false" showInputMessage="false" sqref="F2:F18" type="list">
      <formula1>Lists!$G$2:$G$5</formula1>
      <formula2>0</formula2>
    </dataValidation>
    <dataValidation allowBlank="false" errorStyle="stop" operator="between" showDropDown="false" showErrorMessage="false" showInputMessage="false" sqref="H2:H18" type="list">
      <formula1>Lists!$F$2:$F$4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52"/>
    <col collapsed="false" customWidth="true" hidden="false" outlineLevel="0" max="10" min="10" style="0" width="46"/>
    <col collapsed="false" customWidth="true" hidden="false" outlineLevel="0" max="11" min="11" style="0" width="24"/>
    <col collapsed="false" customWidth="true" hidden="false" outlineLevel="0" max="12" min="12" style="0" width="44"/>
    <col collapsed="false" customWidth="true" hidden="false" outlineLevel="0" max="13" min="13" style="0" width="12"/>
  </cols>
  <sheetData>
    <row r="1" customFormat="false" ht="48" hidden="false" customHeight="true" outlineLevel="0" collapsed="false">
      <c r="A1" s="3" t="s">
        <v>123</v>
      </c>
      <c r="B1" s="3" t="s">
        <v>124</v>
      </c>
      <c r="C1" s="3" t="s">
        <v>125</v>
      </c>
      <c r="D1" s="3" t="s">
        <v>126</v>
      </c>
      <c r="E1" s="3" t="s">
        <v>1</v>
      </c>
      <c r="F1" s="3" t="s">
        <v>127</v>
      </c>
      <c r="G1" s="3" t="s">
        <v>128</v>
      </c>
      <c r="H1" s="3" t="s">
        <v>3</v>
      </c>
      <c r="I1" s="3" t="s">
        <v>129</v>
      </c>
      <c r="J1" s="3" t="s">
        <v>130</v>
      </c>
      <c r="K1" s="3" t="s">
        <v>131</v>
      </c>
      <c r="L1" s="3" t="s">
        <v>132</v>
      </c>
      <c r="M1" s="3" t="s">
        <v>5</v>
      </c>
    </row>
    <row r="2" customFormat="false" ht="48" hidden="false" customHeight="true" outlineLevel="0" collapsed="false">
      <c r="A2" s="4" t="s">
        <v>133</v>
      </c>
      <c r="B2" s="4" t="s">
        <v>41</v>
      </c>
      <c r="C2" s="4" t="s">
        <v>84</v>
      </c>
      <c r="D2" s="4" t="s">
        <v>32</v>
      </c>
      <c r="E2" s="4" t="s">
        <v>9</v>
      </c>
      <c r="F2" s="4"/>
      <c r="G2" s="4" t="n">
        <v>75</v>
      </c>
      <c r="H2" s="4" t="s">
        <v>10</v>
      </c>
      <c r="I2" s="4" t="s">
        <v>134</v>
      </c>
      <c r="J2" s="4" t="s">
        <v>135</v>
      </c>
      <c r="K2" s="4" t="s">
        <v>11</v>
      </c>
      <c r="L2" s="4" t="s">
        <v>136</v>
      </c>
      <c r="M2" s="4" t="s">
        <v>12</v>
      </c>
    </row>
    <row r="3" customFormat="false" ht="48" hidden="false" customHeight="true" outlineLevel="0" collapsed="false">
      <c r="A3" s="4" t="s">
        <v>137</v>
      </c>
      <c r="B3" s="4" t="s">
        <v>47</v>
      </c>
      <c r="C3" s="4" t="s">
        <v>84</v>
      </c>
      <c r="D3" s="4" t="s">
        <v>32</v>
      </c>
      <c r="E3" s="4" t="s">
        <v>9</v>
      </c>
      <c r="F3" s="4"/>
      <c r="G3" s="4" t="n">
        <v>75</v>
      </c>
      <c r="H3" s="4" t="s">
        <v>10</v>
      </c>
      <c r="I3" s="4" t="s">
        <v>138</v>
      </c>
      <c r="J3" s="4" t="s">
        <v>139</v>
      </c>
      <c r="K3" s="4" t="s">
        <v>11</v>
      </c>
      <c r="L3" s="4" t="s">
        <v>140</v>
      </c>
      <c r="M3" s="4" t="s">
        <v>12</v>
      </c>
    </row>
    <row r="4" customFormat="false" ht="48" hidden="false" customHeight="true" outlineLevel="0" collapsed="false">
      <c r="A4" s="4" t="s">
        <v>141</v>
      </c>
      <c r="B4" s="4" t="s">
        <v>76</v>
      </c>
      <c r="C4" s="4" t="s">
        <v>84</v>
      </c>
      <c r="D4" s="4" t="s">
        <v>32</v>
      </c>
      <c r="E4" s="4" t="s">
        <v>9</v>
      </c>
      <c r="F4" s="4"/>
      <c r="G4" s="4" t="n">
        <v>75</v>
      </c>
      <c r="H4" s="4" t="s">
        <v>10</v>
      </c>
      <c r="I4" s="4" t="s">
        <v>142</v>
      </c>
      <c r="J4" s="4" t="s">
        <v>143</v>
      </c>
      <c r="K4" s="4" t="s">
        <v>18</v>
      </c>
      <c r="L4" s="4" t="s">
        <v>144</v>
      </c>
      <c r="M4" s="4" t="s">
        <v>12</v>
      </c>
    </row>
    <row r="5" customFormat="false" ht="48" hidden="false" customHeight="true" outlineLevel="0" collapsed="false">
      <c r="A5" s="4" t="s">
        <v>145</v>
      </c>
      <c r="B5" s="4" t="s">
        <v>56</v>
      </c>
      <c r="C5" s="4" t="s">
        <v>84</v>
      </c>
      <c r="D5" s="4" t="s">
        <v>29</v>
      </c>
      <c r="E5" s="4" t="s">
        <v>9</v>
      </c>
      <c r="F5" s="4"/>
      <c r="G5" s="4" t="n">
        <v>50</v>
      </c>
      <c r="H5" s="4" t="s">
        <v>10</v>
      </c>
      <c r="I5" s="4" t="s">
        <v>146</v>
      </c>
      <c r="J5" s="4" t="s">
        <v>147</v>
      </c>
      <c r="K5" s="4" t="s">
        <v>11</v>
      </c>
      <c r="L5" s="4" t="s">
        <v>148</v>
      </c>
      <c r="M5" s="4" t="s">
        <v>12</v>
      </c>
    </row>
    <row r="6" customFormat="false" ht="48" hidden="false" customHeight="true" outlineLevel="0" collapsed="false">
      <c r="A6" s="4" t="s">
        <v>149</v>
      </c>
      <c r="B6" s="4" t="s">
        <v>84</v>
      </c>
      <c r="C6" s="4" t="s">
        <v>51</v>
      </c>
      <c r="D6" s="4" t="s">
        <v>15</v>
      </c>
      <c r="E6" s="4" t="s">
        <v>9</v>
      </c>
      <c r="F6" s="4"/>
      <c r="G6" s="4" t="n">
        <v>75</v>
      </c>
      <c r="H6" s="4" t="s">
        <v>10</v>
      </c>
      <c r="I6" s="4" t="s">
        <v>150</v>
      </c>
      <c r="J6" s="4" t="s">
        <v>151</v>
      </c>
      <c r="K6" s="4" t="s">
        <v>18</v>
      </c>
      <c r="L6" s="4" t="s">
        <v>152</v>
      </c>
      <c r="M6" s="4" t="s">
        <v>12</v>
      </c>
    </row>
    <row r="7" customFormat="false" ht="48" hidden="false" customHeight="true" outlineLevel="0" collapsed="false">
      <c r="A7" s="4" t="s">
        <v>153</v>
      </c>
      <c r="B7" s="4" t="s">
        <v>51</v>
      </c>
      <c r="C7" s="4" t="s">
        <v>84</v>
      </c>
      <c r="D7" s="4" t="s">
        <v>33</v>
      </c>
      <c r="E7" s="4" t="s">
        <v>9</v>
      </c>
      <c r="F7" s="4"/>
      <c r="G7" s="4" t="n">
        <v>50</v>
      </c>
      <c r="H7" s="4" t="s">
        <v>17</v>
      </c>
      <c r="I7" s="4" t="s">
        <v>154</v>
      </c>
      <c r="J7" s="4" t="s">
        <v>155</v>
      </c>
      <c r="K7" s="4" t="s">
        <v>18</v>
      </c>
      <c r="L7" s="4" t="s">
        <v>156</v>
      </c>
      <c r="M7" s="4" t="s">
        <v>12</v>
      </c>
    </row>
    <row r="8" customFormat="false" ht="48" hidden="false" customHeight="true" outlineLevel="0" collapsed="false">
      <c r="A8" s="4" t="s">
        <v>157</v>
      </c>
      <c r="B8" s="4" t="s">
        <v>84</v>
      </c>
      <c r="C8" s="4" t="s">
        <v>99</v>
      </c>
      <c r="D8" s="4" t="s">
        <v>15</v>
      </c>
      <c r="E8" s="4" t="s">
        <v>9</v>
      </c>
      <c r="F8" s="4"/>
      <c r="G8" s="4" t="n">
        <v>75</v>
      </c>
      <c r="H8" s="4" t="s">
        <v>10</v>
      </c>
      <c r="I8" s="4" t="s">
        <v>158</v>
      </c>
      <c r="J8" s="4" t="s">
        <v>159</v>
      </c>
      <c r="K8" s="4" t="s">
        <v>18</v>
      </c>
      <c r="L8" s="4" t="s">
        <v>160</v>
      </c>
      <c r="M8" s="4" t="s">
        <v>12</v>
      </c>
    </row>
    <row r="9" customFormat="false" ht="48" hidden="false" customHeight="true" outlineLevel="0" collapsed="false">
      <c r="A9" s="4" t="s">
        <v>161</v>
      </c>
      <c r="B9" s="4" t="s">
        <v>99</v>
      </c>
      <c r="C9" s="4" t="s">
        <v>84</v>
      </c>
      <c r="D9" s="4" t="s">
        <v>15</v>
      </c>
      <c r="E9" s="4" t="s">
        <v>23</v>
      </c>
      <c r="F9" s="4" t="s">
        <v>162</v>
      </c>
      <c r="G9" s="4" t="n">
        <v>25</v>
      </c>
      <c r="H9" s="4" t="s">
        <v>17</v>
      </c>
      <c r="I9" s="4" t="s">
        <v>163</v>
      </c>
      <c r="J9" s="4" t="s">
        <v>164</v>
      </c>
      <c r="K9" s="4" t="s">
        <v>18</v>
      </c>
      <c r="L9" s="4" t="s">
        <v>165</v>
      </c>
      <c r="M9" s="4" t="s">
        <v>12</v>
      </c>
    </row>
    <row r="10" customFormat="false" ht="48" hidden="false" customHeight="true" outlineLevel="0" collapsed="false">
      <c r="A10" s="4" t="s">
        <v>166</v>
      </c>
      <c r="B10" s="4" t="s">
        <v>84</v>
      </c>
      <c r="C10" s="4" t="s">
        <v>104</v>
      </c>
      <c r="D10" s="4" t="s">
        <v>15</v>
      </c>
      <c r="E10" s="4" t="s">
        <v>9</v>
      </c>
      <c r="F10" s="4"/>
      <c r="G10" s="4" t="n">
        <v>75</v>
      </c>
      <c r="H10" s="4" t="s">
        <v>10</v>
      </c>
      <c r="I10" s="4" t="s">
        <v>167</v>
      </c>
      <c r="J10" s="4" t="s">
        <v>168</v>
      </c>
      <c r="K10" s="4" t="s">
        <v>18</v>
      </c>
      <c r="L10" s="4" t="s">
        <v>169</v>
      </c>
      <c r="M10" s="4" t="s">
        <v>12</v>
      </c>
    </row>
    <row r="11" customFormat="false" ht="48" hidden="false" customHeight="true" outlineLevel="0" collapsed="false">
      <c r="A11" s="4" t="s">
        <v>170</v>
      </c>
      <c r="B11" s="4" t="s">
        <v>104</v>
      </c>
      <c r="C11" s="4" t="s">
        <v>84</v>
      </c>
      <c r="D11" s="4" t="s">
        <v>15</v>
      </c>
      <c r="E11" s="4" t="s">
        <v>9</v>
      </c>
      <c r="F11" s="4"/>
      <c r="G11" s="4" t="n">
        <v>25</v>
      </c>
      <c r="H11" s="4" t="s">
        <v>17</v>
      </c>
      <c r="I11" s="4" t="s">
        <v>171</v>
      </c>
      <c r="J11" s="4" t="s">
        <v>172</v>
      </c>
      <c r="K11" s="4" t="s">
        <v>18</v>
      </c>
      <c r="L11" s="4" t="s">
        <v>173</v>
      </c>
      <c r="M11" s="4" t="s">
        <v>12</v>
      </c>
    </row>
    <row r="12" customFormat="false" ht="48" hidden="false" customHeight="true" outlineLevel="0" collapsed="false">
      <c r="A12" s="4" t="s">
        <v>174</v>
      </c>
      <c r="B12" s="4" t="s">
        <v>84</v>
      </c>
      <c r="C12" s="4" t="s">
        <v>109</v>
      </c>
      <c r="D12" s="4" t="s">
        <v>15</v>
      </c>
      <c r="E12" s="4" t="s">
        <v>9</v>
      </c>
      <c r="F12" s="4"/>
      <c r="G12" s="4" t="n">
        <v>50</v>
      </c>
      <c r="H12" s="4" t="s">
        <v>17</v>
      </c>
      <c r="I12" s="4" t="s">
        <v>175</v>
      </c>
      <c r="J12" s="4" t="s">
        <v>176</v>
      </c>
      <c r="K12" s="4" t="s">
        <v>18</v>
      </c>
      <c r="L12" s="4" t="s">
        <v>177</v>
      </c>
      <c r="M12" s="4" t="s">
        <v>12</v>
      </c>
    </row>
    <row r="13" customFormat="false" ht="48" hidden="false" customHeight="true" outlineLevel="0" collapsed="false">
      <c r="A13" s="4" t="s">
        <v>178</v>
      </c>
      <c r="B13" s="4" t="s">
        <v>109</v>
      </c>
      <c r="C13" s="4" t="s">
        <v>84</v>
      </c>
      <c r="D13" s="4" t="s">
        <v>15</v>
      </c>
      <c r="E13" s="4" t="s">
        <v>23</v>
      </c>
      <c r="F13" s="4" t="s">
        <v>162</v>
      </c>
      <c r="G13" s="4" t="n">
        <v>25</v>
      </c>
      <c r="H13" s="4" t="s">
        <v>24</v>
      </c>
      <c r="I13" s="4" t="s">
        <v>179</v>
      </c>
      <c r="J13" s="4" t="s">
        <v>180</v>
      </c>
      <c r="K13" s="4" t="s">
        <v>30</v>
      </c>
      <c r="L13" s="4" t="s">
        <v>181</v>
      </c>
      <c r="M13" s="4" t="s">
        <v>12</v>
      </c>
    </row>
    <row r="14" customFormat="false" ht="48" hidden="false" customHeight="true" outlineLevel="0" collapsed="false">
      <c r="A14" s="4" t="s">
        <v>182</v>
      </c>
      <c r="B14" s="4" t="s">
        <v>84</v>
      </c>
      <c r="C14" s="4" t="s">
        <v>114</v>
      </c>
      <c r="D14" s="4" t="s">
        <v>15</v>
      </c>
      <c r="E14" s="4" t="s">
        <v>9</v>
      </c>
      <c r="F14" s="4"/>
      <c r="G14" s="4" t="n">
        <v>50</v>
      </c>
      <c r="H14" s="4" t="s">
        <v>17</v>
      </c>
      <c r="I14" s="4" t="s">
        <v>183</v>
      </c>
      <c r="J14" s="4" t="s">
        <v>184</v>
      </c>
      <c r="K14" s="4" t="s">
        <v>18</v>
      </c>
      <c r="L14" s="4" t="s">
        <v>185</v>
      </c>
      <c r="M14" s="4" t="s">
        <v>12</v>
      </c>
    </row>
    <row r="15" customFormat="false" ht="48" hidden="false" customHeight="true" outlineLevel="0" collapsed="false">
      <c r="A15" s="4" t="s">
        <v>186</v>
      </c>
      <c r="B15" s="4" t="s">
        <v>114</v>
      </c>
      <c r="C15" s="4" t="s">
        <v>84</v>
      </c>
      <c r="D15" s="4" t="s">
        <v>15</v>
      </c>
      <c r="E15" s="4" t="s">
        <v>23</v>
      </c>
      <c r="F15" s="4" t="s">
        <v>162</v>
      </c>
      <c r="G15" s="4" t="n">
        <v>25</v>
      </c>
      <c r="H15" s="4" t="s">
        <v>17</v>
      </c>
      <c r="I15" s="4" t="s">
        <v>187</v>
      </c>
      <c r="J15" s="4" t="s">
        <v>188</v>
      </c>
      <c r="K15" s="4" t="s">
        <v>18</v>
      </c>
      <c r="L15" s="4" t="s">
        <v>189</v>
      </c>
      <c r="M15" s="4" t="s">
        <v>12</v>
      </c>
    </row>
    <row r="16" customFormat="false" ht="48" hidden="false" customHeight="true" outlineLevel="0" collapsed="false">
      <c r="A16" s="4" t="s">
        <v>190</v>
      </c>
      <c r="B16" s="4" t="s">
        <v>84</v>
      </c>
      <c r="C16" s="4" t="s">
        <v>119</v>
      </c>
      <c r="D16" s="4" t="s">
        <v>15</v>
      </c>
      <c r="E16" s="4" t="s">
        <v>9</v>
      </c>
      <c r="F16" s="4"/>
      <c r="G16" s="4" t="n">
        <v>50</v>
      </c>
      <c r="H16" s="4" t="s">
        <v>17</v>
      </c>
      <c r="I16" s="4" t="s">
        <v>191</v>
      </c>
      <c r="J16" s="4" t="s">
        <v>192</v>
      </c>
      <c r="K16" s="4" t="s">
        <v>18</v>
      </c>
      <c r="L16" s="4" t="s">
        <v>193</v>
      </c>
      <c r="M16" s="4" t="s">
        <v>12</v>
      </c>
    </row>
    <row r="17" customFormat="false" ht="48" hidden="false" customHeight="true" outlineLevel="0" collapsed="false">
      <c r="A17" s="4" t="s">
        <v>194</v>
      </c>
      <c r="B17" s="4" t="s">
        <v>119</v>
      </c>
      <c r="C17" s="4" t="s">
        <v>84</v>
      </c>
      <c r="D17" s="4" t="s">
        <v>22</v>
      </c>
      <c r="E17" s="4" t="s">
        <v>9</v>
      </c>
      <c r="F17" s="4"/>
      <c r="G17" s="4" t="n">
        <v>50</v>
      </c>
      <c r="H17" s="4" t="s">
        <v>10</v>
      </c>
      <c r="I17" s="4" t="s">
        <v>195</v>
      </c>
      <c r="J17" s="4" t="s">
        <v>196</v>
      </c>
      <c r="K17" s="4" t="s">
        <v>18</v>
      </c>
      <c r="L17" s="4" t="s">
        <v>197</v>
      </c>
      <c r="M17" s="4" t="s">
        <v>12</v>
      </c>
    </row>
    <row r="18" customFormat="false" ht="48" hidden="false" customHeight="true" outlineLevel="0" collapsed="false">
      <c r="A18" s="4" t="s">
        <v>198</v>
      </c>
      <c r="B18" s="4" t="s">
        <v>80</v>
      </c>
      <c r="C18" s="4" t="s">
        <v>99</v>
      </c>
      <c r="D18" s="4" t="s">
        <v>15</v>
      </c>
      <c r="E18" s="4" t="s">
        <v>9</v>
      </c>
      <c r="F18" s="4"/>
      <c r="G18" s="4" t="n">
        <v>50</v>
      </c>
      <c r="H18" s="4" t="s">
        <v>10</v>
      </c>
      <c r="I18" s="4" t="s">
        <v>199</v>
      </c>
      <c r="J18" s="4" t="s">
        <v>200</v>
      </c>
      <c r="K18" s="4" t="s">
        <v>18</v>
      </c>
      <c r="L18" s="4" t="s">
        <v>201</v>
      </c>
      <c r="M18" s="4" t="s">
        <v>12</v>
      </c>
    </row>
    <row r="19" customFormat="false" ht="48" hidden="false" customHeight="true" outlineLevel="0" collapsed="false">
      <c r="A19" s="4" t="s">
        <v>202</v>
      </c>
      <c r="B19" s="4" t="s">
        <v>80</v>
      </c>
      <c r="C19" s="4" t="s">
        <v>114</v>
      </c>
      <c r="D19" s="4" t="s">
        <v>15</v>
      </c>
      <c r="E19" s="4" t="s">
        <v>9</v>
      </c>
      <c r="F19" s="4"/>
      <c r="G19" s="4" t="n">
        <v>50</v>
      </c>
      <c r="H19" s="4" t="s">
        <v>10</v>
      </c>
      <c r="I19" s="4" t="s">
        <v>203</v>
      </c>
      <c r="J19" s="4" t="s">
        <v>204</v>
      </c>
      <c r="K19" s="4" t="s">
        <v>18</v>
      </c>
      <c r="L19" s="4" t="s">
        <v>205</v>
      </c>
      <c r="M19" s="4" t="s">
        <v>12</v>
      </c>
    </row>
    <row r="20" customFormat="false" ht="48" hidden="false" customHeight="true" outlineLevel="0" collapsed="false">
      <c r="A20" s="4" t="s">
        <v>206</v>
      </c>
      <c r="B20" s="4" t="s">
        <v>99</v>
      </c>
      <c r="C20" s="4" t="s">
        <v>119</v>
      </c>
      <c r="D20" s="4" t="s">
        <v>22</v>
      </c>
      <c r="E20" s="4" t="s">
        <v>16</v>
      </c>
      <c r="F20" s="4" t="s">
        <v>207</v>
      </c>
      <c r="G20" s="4" t="n">
        <v>75</v>
      </c>
      <c r="H20" s="4" t="s">
        <v>10</v>
      </c>
      <c r="I20" s="4" t="s">
        <v>208</v>
      </c>
      <c r="J20" s="4" t="s">
        <v>209</v>
      </c>
      <c r="K20" s="4" t="s">
        <v>18</v>
      </c>
      <c r="L20" s="4" t="s">
        <v>210</v>
      </c>
      <c r="M20" s="4" t="s">
        <v>12</v>
      </c>
    </row>
    <row r="21" customFormat="false" ht="48" hidden="false" customHeight="true" outlineLevel="0" collapsed="false">
      <c r="A21" s="4" t="s">
        <v>211</v>
      </c>
      <c r="B21" s="4" t="s">
        <v>119</v>
      </c>
      <c r="C21" s="4" t="s">
        <v>99</v>
      </c>
      <c r="D21" s="4" t="s">
        <v>22</v>
      </c>
      <c r="E21" s="4" t="s">
        <v>16</v>
      </c>
      <c r="F21" s="4" t="s">
        <v>207</v>
      </c>
      <c r="G21" s="4" t="n">
        <v>75</v>
      </c>
      <c r="H21" s="4" t="s">
        <v>10</v>
      </c>
      <c r="I21" s="4" t="s">
        <v>212</v>
      </c>
      <c r="J21" s="4" t="s">
        <v>213</v>
      </c>
      <c r="K21" s="4" t="s">
        <v>18</v>
      </c>
      <c r="L21" s="4" t="s">
        <v>214</v>
      </c>
      <c r="M21" s="4" t="s">
        <v>12</v>
      </c>
    </row>
    <row r="22" customFormat="false" ht="48" hidden="false" customHeight="true" outlineLevel="0" collapsed="false">
      <c r="A22" s="4" t="s">
        <v>215</v>
      </c>
      <c r="B22" s="4" t="s">
        <v>104</v>
      </c>
      <c r="C22" s="4" t="s">
        <v>99</v>
      </c>
      <c r="D22" s="4" t="s">
        <v>15</v>
      </c>
      <c r="E22" s="4" t="s">
        <v>16</v>
      </c>
      <c r="F22" s="4" t="s">
        <v>207</v>
      </c>
      <c r="G22" s="4" t="n">
        <v>50</v>
      </c>
      <c r="H22" s="4" t="s">
        <v>10</v>
      </c>
      <c r="I22" s="4" t="s">
        <v>216</v>
      </c>
      <c r="J22" s="4" t="s">
        <v>217</v>
      </c>
      <c r="K22" s="4" t="s">
        <v>18</v>
      </c>
      <c r="L22" s="4" t="s">
        <v>218</v>
      </c>
      <c r="M22" s="4" t="s">
        <v>12</v>
      </c>
    </row>
    <row r="23" customFormat="false" ht="48" hidden="false" customHeight="true" outlineLevel="0" collapsed="false">
      <c r="A23" s="4" t="s">
        <v>219</v>
      </c>
      <c r="B23" s="4" t="s">
        <v>99</v>
      </c>
      <c r="C23" s="4" t="s">
        <v>104</v>
      </c>
      <c r="D23" s="4" t="s">
        <v>22</v>
      </c>
      <c r="E23" s="4" t="s">
        <v>16</v>
      </c>
      <c r="F23" s="4" t="s">
        <v>207</v>
      </c>
      <c r="G23" s="4" t="n">
        <v>25</v>
      </c>
      <c r="H23" s="4" t="s">
        <v>17</v>
      </c>
      <c r="I23" s="4" t="s">
        <v>220</v>
      </c>
      <c r="J23" s="4" t="s">
        <v>221</v>
      </c>
      <c r="K23" s="4" t="s">
        <v>18</v>
      </c>
      <c r="L23" s="4" t="s">
        <v>222</v>
      </c>
      <c r="M23" s="4" t="s">
        <v>12</v>
      </c>
    </row>
    <row r="24" customFormat="false" ht="48" hidden="false" customHeight="true" outlineLevel="0" collapsed="false">
      <c r="A24" s="4" t="s">
        <v>223</v>
      </c>
      <c r="B24" s="4" t="s">
        <v>119</v>
      </c>
      <c r="C24" s="4" t="s">
        <v>104</v>
      </c>
      <c r="D24" s="4" t="s">
        <v>22</v>
      </c>
      <c r="E24" s="4" t="s">
        <v>9</v>
      </c>
      <c r="F24" s="4"/>
      <c r="G24" s="4" t="n">
        <v>75</v>
      </c>
      <c r="H24" s="4" t="s">
        <v>10</v>
      </c>
      <c r="I24" s="4" t="s">
        <v>224</v>
      </c>
      <c r="J24" s="4" t="s">
        <v>225</v>
      </c>
      <c r="K24" s="4" t="s">
        <v>18</v>
      </c>
      <c r="L24" s="4" t="s">
        <v>226</v>
      </c>
      <c r="M24" s="4" t="s">
        <v>12</v>
      </c>
    </row>
    <row r="25" customFormat="false" ht="48" hidden="false" customHeight="true" outlineLevel="0" collapsed="false">
      <c r="A25" s="4" t="s">
        <v>227</v>
      </c>
      <c r="B25" s="4" t="s">
        <v>104</v>
      </c>
      <c r="C25" s="4" t="s">
        <v>119</v>
      </c>
      <c r="D25" s="4" t="s">
        <v>15</v>
      </c>
      <c r="E25" s="4" t="s">
        <v>9</v>
      </c>
      <c r="F25" s="4"/>
      <c r="G25" s="4" t="n">
        <v>50</v>
      </c>
      <c r="H25" s="4" t="s">
        <v>10</v>
      </c>
      <c r="I25" s="4" t="s">
        <v>228</v>
      </c>
      <c r="J25" s="4" t="s">
        <v>229</v>
      </c>
      <c r="K25" s="4" t="s">
        <v>18</v>
      </c>
      <c r="L25" s="4" t="s">
        <v>230</v>
      </c>
      <c r="M25" s="4" t="s">
        <v>12</v>
      </c>
    </row>
    <row r="26" customFormat="false" ht="48" hidden="false" customHeight="true" outlineLevel="0" collapsed="false">
      <c r="A26" s="4" t="s">
        <v>231</v>
      </c>
      <c r="B26" s="4" t="s">
        <v>104</v>
      </c>
      <c r="C26" s="4" t="s">
        <v>109</v>
      </c>
      <c r="D26" s="4" t="s">
        <v>22</v>
      </c>
      <c r="E26" s="4" t="s">
        <v>9</v>
      </c>
      <c r="F26" s="4"/>
      <c r="G26" s="4" t="n">
        <v>50</v>
      </c>
      <c r="H26" s="4" t="s">
        <v>17</v>
      </c>
      <c r="I26" s="4" t="s">
        <v>232</v>
      </c>
      <c r="J26" s="4" t="s">
        <v>233</v>
      </c>
      <c r="K26" s="4" t="s">
        <v>18</v>
      </c>
      <c r="L26" s="4" t="s">
        <v>234</v>
      </c>
      <c r="M26" s="4" t="s">
        <v>12</v>
      </c>
    </row>
    <row r="27" customFormat="false" ht="48" hidden="false" customHeight="true" outlineLevel="0" collapsed="false">
      <c r="A27" s="4" t="s">
        <v>235</v>
      </c>
      <c r="B27" s="4" t="s">
        <v>109</v>
      </c>
      <c r="C27" s="4" t="s">
        <v>114</v>
      </c>
      <c r="D27" s="4" t="s">
        <v>15</v>
      </c>
      <c r="E27" s="4" t="s">
        <v>16</v>
      </c>
      <c r="F27" s="4" t="s">
        <v>236</v>
      </c>
      <c r="G27" s="4" t="n">
        <v>75</v>
      </c>
      <c r="H27" s="4" t="s">
        <v>10</v>
      </c>
      <c r="I27" s="4" t="s">
        <v>237</v>
      </c>
      <c r="J27" s="4" t="s">
        <v>238</v>
      </c>
      <c r="K27" s="4" t="s">
        <v>18</v>
      </c>
      <c r="L27" s="4" t="s">
        <v>239</v>
      </c>
      <c r="M27" s="4" t="s">
        <v>12</v>
      </c>
    </row>
    <row r="28" customFormat="false" ht="48" hidden="false" customHeight="true" outlineLevel="0" collapsed="false">
      <c r="A28" s="4" t="s">
        <v>240</v>
      </c>
      <c r="B28" s="4" t="s">
        <v>114</v>
      </c>
      <c r="C28" s="4" t="s">
        <v>94</v>
      </c>
      <c r="D28" s="4" t="s">
        <v>22</v>
      </c>
      <c r="E28" s="4" t="s">
        <v>16</v>
      </c>
      <c r="F28" s="4" t="s">
        <v>236</v>
      </c>
      <c r="G28" s="4" t="n">
        <v>75</v>
      </c>
      <c r="H28" s="4" t="s">
        <v>10</v>
      </c>
      <c r="I28" s="4" t="s">
        <v>241</v>
      </c>
      <c r="J28" s="4" t="s">
        <v>242</v>
      </c>
      <c r="K28" s="4" t="s">
        <v>18</v>
      </c>
      <c r="L28" s="4" t="s">
        <v>243</v>
      </c>
      <c r="M28" s="4" t="s">
        <v>12</v>
      </c>
    </row>
    <row r="29" customFormat="false" ht="48" hidden="false" customHeight="true" outlineLevel="0" collapsed="false">
      <c r="A29" s="4" t="s">
        <v>244</v>
      </c>
      <c r="B29" s="4" t="s">
        <v>109</v>
      </c>
      <c r="C29" s="4" t="s">
        <v>94</v>
      </c>
      <c r="D29" s="4" t="s">
        <v>29</v>
      </c>
      <c r="E29" s="4" t="s">
        <v>16</v>
      </c>
      <c r="F29" s="4" t="s">
        <v>236</v>
      </c>
      <c r="G29" s="4" t="n">
        <v>50</v>
      </c>
      <c r="H29" s="4" t="s">
        <v>17</v>
      </c>
      <c r="I29" s="4" t="s">
        <v>245</v>
      </c>
      <c r="J29" s="4" t="s">
        <v>246</v>
      </c>
      <c r="K29" s="4" t="s">
        <v>18</v>
      </c>
      <c r="L29" s="4" t="s">
        <v>247</v>
      </c>
      <c r="M29" s="4" t="s">
        <v>12</v>
      </c>
    </row>
    <row r="30" customFormat="false" ht="48" hidden="false" customHeight="true" outlineLevel="0" collapsed="false">
      <c r="A30" s="4" t="s">
        <v>248</v>
      </c>
      <c r="B30" s="4" t="s">
        <v>89</v>
      </c>
      <c r="C30" s="4" t="s">
        <v>94</v>
      </c>
      <c r="D30" s="4" t="s">
        <v>32</v>
      </c>
      <c r="E30" s="4" t="s">
        <v>16</v>
      </c>
      <c r="F30" s="4" t="s">
        <v>236</v>
      </c>
      <c r="G30" s="4" t="n">
        <v>75</v>
      </c>
      <c r="H30" s="4" t="s">
        <v>10</v>
      </c>
      <c r="I30" s="4" t="s">
        <v>249</v>
      </c>
      <c r="J30" s="4" t="s">
        <v>250</v>
      </c>
      <c r="K30" s="4" t="s">
        <v>18</v>
      </c>
      <c r="L30" s="4" t="s">
        <v>251</v>
      </c>
      <c r="M30" s="4" t="s">
        <v>12</v>
      </c>
    </row>
    <row r="31" customFormat="false" ht="48" hidden="false" customHeight="true" outlineLevel="0" collapsed="false">
      <c r="A31" s="4" t="s">
        <v>252</v>
      </c>
      <c r="B31" s="4" t="s">
        <v>94</v>
      </c>
      <c r="C31" s="4" t="s">
        <v>89</v>
      </c>
      <c r="D31" s="4" t="s">
        <v>29</v>
      </c>
      <c r="E31" s="4" t="s">
        <v>9</v>
      </c>
      <c r="F31" s="4"/>
      <c r="G31" s="4" t="n">
        <v>25</v>
      </c>
      <c r="H31" s="4" t="s">
        <v>17</v>
      </c>
      <c r="I31" s="4" t="s">
        <v>253</v>
      </c>
      <c r="J31" s="4" t="s">
        <v>254</v>
      </c>
      <c r="K31" s="4" t="s">
        <v>18</v>
      </c>
      <c r="L31" s="4" t="s">
        <v>255</v>
      </c>
      <c r="M31" s="4" t="s">
        <v>12</v>
      </c>
    </row>
    <row r="32" customFormat="false" ht="48" hidden="false" customHeight="true" outlineLevel="0" collapsed="false">
      <c r="A32" s="4" t="s">
        <v>256</v>
      </c>
      <c r="B32" s="4" t="s">
        <v>61</v>
      </c>
      <c r="C32" s="4" t="s">
        <v>99</v>
      </c>
      <c r="D32" s="4" t="s">
        <v>32</v>
      </c>
      <c r="E32" s="4" t="s">
        <v>9</v>
      </c>
      <c r="F32" s="4"/>
      <c r="G32" s="4" t="n">
        <v>50</v>
      </c>
      <c r="H32" s="4" t="s">
        <v>10</v>
      </c>
      <c r="I32" s="4" t="s">
        <v>257</v>
      </c>
      <c r="J32" s="4" t="s">
        <v>258</v>
      </c>
      <c r="K32" s="4" t="s">
        <v>11</v>
      </c>
      <c r="L32" s="4" t="s">
        <v>259</v>
      </c>
      <c r="M32" s="4" t="s">
        <v>12</v>
      </c>
    </row>
    <row r="33" customFormat="false" ht="48" hidden="false" customHeight="true" outlineLevel="0" collapsed="false">
      <c r="A33" s="4" t="s">
        <v>260</v>
      </c>
      <c r="B33" s="4" t="s">
        <v>61</v>
      </c>
      <c r="C33" s="4" t="s">
        <v>119</v>
      </c>
      <c r="D33" s="4" t="s">
        <v>32</v>
      </c>
      <c r="E33" s="4" t="s">
        <v>9</v>
      </c>
      <c r="F33" s="4"/>
      <c r="G33" s="4" t="n">
        <v>50</v>
      </c>
      <c r="H33" s="4" t="s">
        <v>10</v>
      </c>
      <c r="I33" s="4" t="s">
        <v>261</v>
      </c>
      <c r="J33" s="4" t="s">
        <v>262</v>
      </c>
      <c r="K33" s="4" t="s">
        <v>11</v>
      </c>
      <c r="L33" s="4" t="s">
        <v>263</v>
      </c>
      <c r="M33" s="4" t="s">
        <v>12</v>
      </c>
    </row>
    <row r="34" customFormat="false" ht="48" hidden="false" customHeight="true" outlineLevel="0" collapsed="false">
      <c r="A34" s="4" t="s">
        <v>264</v>
      </c>
      <c r="B34" s="4" t="s">
        <v>66</v>
      </c>
      <c r="C34" s="4" t="s">
        <v>84</v>
      </c>
      <c r="D34" s="4" t="s">
        <v>29</v>
      </c>
      <c r="E34" s="4" t="s">
        <v>9</v>
      </c>
      <c r="F34" s="4"/>
      <c r="G34" s="4" t="n">
        <v>50</v>
      </c>
      <c r="H34" s="4" t="s">
        <v>10</v>
      </c>
      <c r="I34" s="4" t="s">
        <v>265</v>
      </c>
      <c r="J34" s="4" t="s">
        <v>266</v>
      </c>
      <c r="K34" s="4" t="s">
        <v>18</v>
      </c>
      <c r="L34" s="4" t="s">
        <v>267</v>
      </c>
      <c r="M34" s="4" t="s">
        <v>12</v>
      </c>
    </row>
    <row r="35" customFormat="false" ht="48" hidden="false" customHeight="true" outlineLevel="0" collapsed="false">
      <c r="A35" s="4" t="s">
        <v>268</v>
      </c>
      <c r="B35" s="4" t="s">
        <v>66</v>
      </c>
      <c r="C35" s="4" t="s">
        <v>99</v>
      </c>
      <c r="D35" s="4" t="s">
        <v>29</v>
      </c>
      <c r="E35" s="4" t="s">
        <v>9</v>
      </c>
      <c r="F35" s="4"/>
      <c r="G35" s="4" t="n">
        <v>50</v>
      </c>
      <c r="H35" s="4" t="s">
        <v>10</v>
      </c>
      <c r="I35" s="4" t="s">
        <v>269</v>
      </c>
      <c r="J35" s="4" t="s">
        <v>270</v>
      </c>
      <c r="K35" s="4" t="s">
        <v>18</v>
      </c>
      <c r="L35" s="4" t="s">
        <v>271</v>
      </c>
      <c r="M35" s="4" t="s">
        <v>12</v>
      </c>
    </row>
    <row r="36" customFormat="false" ht="48" hidden="false" customHeight="true" outlineLevel="0" collapsed="false">
      <c r="A36" s="4" t="s">
        <v>272</v>
      </c>
      <c r="B36" s="4" t="s">
        <v>66</v>
      </c>
      <c r="C36" s="4" t="s">
        <v>114</v>
      </c>
      <c r="D36" s="4" t="s">
        <v>29</v>
      </c>
      <c r="E36" s="4" t="s">
        <v>9</v>
      </c>
      <c r="F36" s="4"/>
      <c r="G36" s="4" t="n">
        <v>50</v>
      </c>
      <c r="H36" s="4" t="s">
        <v>10</v>
      </c>
      <c r="I36" s="4" t="s">
        <v>273</v>
      </c>
      <c r="J36" s="4" t="s">
        <v>274</v>
      </c>
      <c r="K36" s="4" t="s">
        <v>18</v>
      </c>
      <c r="L36" s="4" t="s">
        <v>275</v>
      </c>
      <c r="M36" s="4" t="s">
        <v>12</v>
      </c>
    </row>
    <row r="37" customFormat="false" ht="48" hidden="false" customHeight="true" outlineLevel="0" collapsed="false">
      <c r="A37" s="4" t="s">
        <v>276</v>
      </c>
      <c r="B37" s="4" t="s">
        <v>66</v>
      </c>
      <c r="C37" s="4" t="s">
        <v>119</v>
      </c>
      <c r="D37" s="4" t="s">
        <v>29</v>
      </c>
      <c r="E37" s="4" t="s">
        <v>9</v>
      </c>
      <c r="F37" s="4"/>
      <c r="G37" s="4" t="n">
        <v>50</v>
      </c>
      <c r="H37" s="4" t="s">
        <v>10</v>
      </c>
      <c r="I37" s="4" t="s">
        <v>277</v>
      </c>
      <c r="J37" s="4" t="s">
        <v>278</v>
      </c>
      <c r="K37" s="4" t="s">
        <v>18</v>
      </c>
      <c r="L37" s="4" t="s">
        <v>279</v>
      </c>
      <c r="M37" s="4" t="s">
        <v>12</v>
      </c>
    </row>
    <row r="38" customFormat="false" ht="48" hidden="false" customHeight="true" outlineLevel="0" collapsed="false">
      <c r="A38" s="4" t="s">
        <v>280</v>
      </c>
      <c r="B38" s="4" t="s">
        <v>114</v>
      </c>
      <c r="C38" s="4" t="s">
        <v>66</v>
      </c>
      <c r="D38" s="4" t="s">
        <v>15</v>
      </c>
      <c r="E38" s="4" t="s">
        <v>9</v>
      </c>
      <c r="F38" s="4"/>
      <c r="G38" s="4" t="n">
        <v>50</v>
      </c>
      <c r="H38" s="4" t="s">
        <v>17</v>
      </c>
      <c r="I38" s="4" t="s">
        <v>281</v>
      </c>
      <c r="J38" s="4" t="s">
        <v>282</v>
      </c>
      <c r="K38" s="4" t="s">
        <v>18</v>
      </c>
      <c r="L38" s="4" t="s">
        <v>283</v>
      </c>
      <c r="M38" s="4" t="s">
        <v>12</v>
      </c>
    </row>
    <row r="39" customFormat="false" ht="48" hidden="false" customHeight="true" outlineLevel="0" collapsed="false">
      <c r="A39" s="4" t="s">
        <v>284</v>
      </c>
      <c r="B39" s="4" t="s">
        <v>99</v>
      </c>
      <c r="C39" s="4" t="s">
        <v>66</v>
      </c>
      <c r="D39" s="4" t="s">
        <v>15</v>
      </c>
      <c r="E39" s="4" t="s">
        <v>9</v>
      </c>
      <c r="F39" s="4"/>
      <c r="G39" s="4" t="n">
        <v>25</v>
      </c>
      <c r="H39" s="4" t="s">
        <v>17</v>
      </c>
      <c r="I39" s="4" t="s">
        <v>285</v>
      </c>
      <c r="J39" s="4" t="s">
        <v>286</v>
      </c>
      <c r="K39" s="4" t="s">
        <v>18</v>
      </c>
      <c r="L39" s="4" t="s">
        <v>287</v>
      </c>
      <c r="M39" s="4" t="s">
        <v>12</v>
      </c>
    </row>
    <row r="40" customFormat="false" ht="48" hidden="false" customHeight="true" outlineLevel="0" collapsed="false">
      <c r="A40" s="4" t="s">
        <v>288</v>
      </c>
      <c r="B40" s="4" t="s">
        <v>119</v>
      </c>
      <c r="C40" s="4" t="s">
        <v>66</v>
      </c>
      <c r="D40" s="4" t="s">
        <v>15</v>
      </c>
      <c r="E40" s="4" t="s">
        <v>9</v>
      </c>
      <c r="F40" s="4"/>
      <c r="G40" s="4" t="n">
        <v>25</v>
      </c>
      <c r="H40" s="4" t="s">
        <v>17</v>
      </c>
      <c r="I40" s="4" t="s">
        <v>289</v>
      </c>
      <c r="J40" s="4" t="s">
        <v>290</v>
      </c>
      <c r="K40" s="4" t="s">
        <v>18</v>
      </c>
      <c r="L40" s="4" t="s">
        <v>291</v>
      </c>
      <c r="M40" s="4" t="s">
        <v>12</v>
      </c>
    </row>
    <row r="41" customFormat="false" ht="48" hidden="false" customHeight="true" outlineLevel="0" collapsed="false">
      <c r="A41" s="4" t="s">
        <v>292</v>
      </c>
      <c r="B41" s="4" t="s">
        <v>66</v>
      </c>
      <c r="C41" s="4" t="s">
        <v>71</v>
      </c>
      <c r="D41" s="4" t="s">
        <v>15</v>
      </c>
      <c r="E41" s="4" t="s">
        <v>9</v>
      </c>
      <c r="F41" s="4"/>
      <c r="G41" s="4" t="n">
        <v>75</v>
      </c>
      <c r="H41" s="4" t="s">
        <v>10</v>
      </c>
      <c r="I41" s="4" t="s">
        <v>293</v>
      </c>
      <c r="J41" s="4" t="s">
        <v>294</v>
      </c>
      <c r="K41" s="4" t="s">
        <v>11</v>
      </c>
      <c r="L41" s="4" t="s">
        <v>295</v>
      </c>
      <c r="M41" s="4" t="s">
        <v>12</v>
      </c>
    </row>
    <row r="42" customFormat="false" ht="48" hidden="false" customHeight="true" outlineLevel="0" collapsed="false">
      <c r="A42" s="4" t="s">
        <v>296</v>
      </c>
      <c r="B42" s="4" t="s">
        <v>71</v>
      </c>
      <c r="C42" s="4" t="s">
        <v>84</v>
      </c>
      <c r="D42" s="4" t="s">
        <v>22</v>
      </c>
      <c r="E42" s="4" t="s">
        <v>9</v>
      </c>
      <c r="F42" s="4"/>
      <c r="G42" s="4" t="n">
        <v>25</v>
      </c>
      <c r="H42" s="4" t="s">
        <v>17</v>
      </c>
      <c r="I42" s="4" t="s">
        <v>297</v>
      </c>
      <c r="J42" s="4" t="s">
        <v>298</v>
      </c>
      <c r="K42" s="4" t="s">
        <v>18</v>
      </c>
      <c r="L42" s="4" t="s">
        <v>299</v>
      </c>
      <c r="M42" s="4" t="s">
        <v>12</v>
      </c>
    </row>
    <row r="43" customFormat="false" ht="48" hidden="false" customHeight="true" outlineLevel="0" collapsed="false">
      <c r="A43" s="4" t="s">
        <v>300</v>
      </c>
      <c r="B43" s="4" t="s">
        <v>71</v>
      </c>
      <c r="C43" s="4" t="s">
        <v>99</v>
      </c>
      <c r="D43" s="4" t="s">
        <v>22</v>
      </c>
      <c r="E43" s="4" t="s">
        <v>9</v>
      </c>
      <c r="F43" s="4"/>
      <c r="G43" s="4" t="n">
        <v>25</v>
      </c>
      <c r="H43" s="4" t="s">
        <v>17</v>
      </c>
      <c r="I43" s="4" t="s">
        <v>301</v>
      </c>
      <c r="J43" s="4" t="s">
        <v>302</v>
      </c>
      <c r="K43" s="4" t="s">
        <v>18</v>
      </c>
      <c r="L43" s="4" t="s">
        <v>303</v>
      </c>
      <c r="M43" s="4" t="s">
        <v>12</v>
      </c>
    </row>
    <row r="44" customFormat="false" ht="48" hidden="false" customHeight="true" outlineLevel="0" collapsed="false">
      <c r="A44" s="4" t="s">
        <v>304</v>
      </c>
      <c r="B44" s="4" t="s">
        <v>71</v>
      </c>
      <c r="C44" s="4" t="s">
        <v>114</v>
      </c>
      <c r="D44" s="4" t="s">
        <v>22</v>
      </c>
      <c r="E44" s="4" t="s">
        <v>9</v>
      </c>
      <c r="F44" s="4"/>
      <c r="G44" s="4" t="n">
        <v>25</v>
      </c>
      <c r="H44" s="4" t="s">
        <v>17</v>
      </c>
      <c r="I44" s="4" t="s">
        <v>305</v>
      </c>
      <c r="J44" s="4" t="s">
        <v>306</v>
      </c>
      <c r="K44" s="4" t="s">
        <v>18</v>
      </c>
      <c r="L44" s="4" t="s">
        <v>307</v>
      </c>
      <c r="M44" s="4" t="s">
        <v>12</v>
      </c>
    </row>
    <row r="45" customFormat="false" ht="48" hidden="false" customHeight="true" outlineLevel="0" collapsed="false">
      <c r="A45" s="4" t="s">
        <v>308</v>
      </c>
      <c r="B45" s="4" t="s">
        <v>56</v>
      </c>
      <c r="C45" s="4" t="s">
        <v>119</v>
      </c>
      <c r="D45" s="4" t="s">
        <v>29</v>
      </c>
      <c r="E45" s="4" t="s">
        <v>9</v>
      </c>
      <c r="F45" s="4"/>
      <c r="G45" s="4" t="n">
        <v>50</v>
      </c>
      <c r="H45" s="4" t="s">
        <v>10</v>
      </c>
      <c r="I45" s="4" t="s">
        <v>309</v>
      </c>
      <c r="J45" s="4" t="s">
        <v>310</v>
      </c>
      <c r="K45" s="4" t="s">
        <v>18</v>
      </c>
      <c r="L45" s="4" t="s">
        <v>311</v>
      </c>
      <c r="M45" s="4" t="s">
        <v>12</v>
      </c>
    </row>
    <row r="46" customFormat="false" ht="48" hidden="false" customHeight="true" outlineLevel="0" collapsed="false">
      <c r="A46" s="4" t="s">
        <v>312</v>
      </c>
      <c r="B46" s="4" t="s">
        <v>56</v>
      </c>
      <c r="C46" s="4" t="s">
        <v>104</v>
      </c>
      <c r="D46" s="4" t="s">
        <v>29</v>
      </c>
      <c r="E46" s="4" t="s">
        <v>9</v>
      </c>
      <c r="F46" s="4"/>
      <c r="G46" s="4" t="n">
        <v>50</v>
      </c>
      <c r="H46" s="4" t="s">
        <v>10</v>
      </c>
      <c r="I46" s="4" t="s">
        <v>313</v>
      </c>
      <c r="J46" s="4" t="s">
        <v>314</v>
      </c>
      <c r="K46" s="4" t="s">
        <v>18</v>
      </c>
      <c r="L46" s="4" t="s">
        <v>315</v>
      </c>
      <c r="M46" s="4" t="s">
        <v>12</v>
      </c>
    </row>
    <row r="47" customFormat="false" ht="48" hidden="false" customHeight="true" outlineLevel="0" collapsed="false">
      <c r="A47" s="4" t="s">
        <v>316</v>
      </c>
      <c r="B47" s="4" t="s">
        <v>76</v>
      </c>
      <c r="C47" s="4" t="s">
        <v>99</v>
      </c>
      <c r="D47" s="4" t="s">
        <v>32</v>
      </c>
      <c r="E47" s="4" t="s">
        <v>9</v>
      </c>
      <c r="F47" s="4"/>
      <c r="G47" s="4" t="n">
        <v>50</v>
      </c>
      <c r="H47" s="4" t="s">
        <v>10</v>
      </c>
      <c r="I47" s="4" t="s">
        <v>317</v>
      </c>
      <c r="J47" s="4" t="s">
        <v>318</v>
      </c>
      <c r="K47" s="4" t="s">
        <v>18</v>
      </c>
      <c r="L47" s="4" t="s">
        <v>319</v>
      </c>
      <c r="M47" s="4" t="s">
        <v>12</v>
      </c>
    </row>
    <row r="48" customFormat="false" ht="48" hidden="false" customHeight="true" outlineLevel="0" collapsed="false">
      <c r="A48" s="4" t="s">
        <v>320</v>
      </c>
      <c r="B48" s="4" t="s">
        <v>76</v>
      </c>
      <c r="C48" s="4" t="s">
        <v>114</v>
      </c>
      <c r="D48" s="4" t="s">
        <v>32</v>
      </c>
      <c r="E48" s="4" t="s">
        <v>9</v>
      </c>
      <c r="F48" s="4"/>
      <c r="G48" s="4" t="n">
        <v>50</v>
      </c>
      <c r="H48" s="4" t="s">
        <v>10</v>
      </c>
      <c r="I48" s="4" t="s">
        <v>321</v>
      </c>
      <c r="J48" s="4" t="s">
        <v>322</v>
      </c>
      <c r="K48" s="4" t="s">
        <v>18</v>
      </c>
      <c r="L48" s="4" t="s">
        <v>323</v>
      </c>
      <c r="M48" s="4" t="s">
        <v>12</v>
      </c>
    </row>
    <row r="49" customFormat="false" ht="48" hidden="false" customHeight="true" outlineLevel="0" collapsed="false">
      <c r="A49" s="4" t="s">
        <v>324</v>
      </c>
      <c r="B49" s="4" t="s">
        <v>76</v>
      </c>
      <c r="C49" s="4" t="s">
        <v>89</v>
      </c>
      <c r="D49" s="4" t="s">
        <v>32</v>
      </c>
      <c r="E49" s="4" t="s">
        <v>9</v>
      </c>
      <c r="F49" s="4"/>
      <c r="G49" s="4" t="n">
        <v>75</v>
      </c>
      <c r="H49" s="4" t="s">
        <v>10</v>
      </c>
      <c r="I49" s="4" t="s">
        <v>325</v>
      </c>
      <c r="J49" s="4" t="s">
        <v>326</v>
      </c>
      <c r="K49" s="4" t="s">
        <v>18</v>
      </c>
      <c r="L49" s="4" t="s">
        <v>327</v>
      </c>
      <c r="M49" s="4" t="s">
        <v>12</v>
      </c>
    </row>
  </sheetData>
  <conditionalFormatting sqref="G2:G49">
    <cfRule type="dataBar" priority="2">
      <dataBar showValue="1" minLength="10" maxLength="90">
        <cfvo type="min" val="0"/>
        <cfvo type="max" val="0"/>
        <color rgb="FFC55A11"/>
      </dataBar>
      <extLst>
        <ext xmlns:x14="http://schemas.microsoft.com/office/spreadsheetml/2009/9/main" uri="{B025F937-C7B1-47D3-B67F-A62EFF666E3E}">
          <x14:id>{6220ACDA-66DF-4897-84ED-BEB2F1C4CD5A}</x14:id>
        </ext>
      </extLst>
    </cfRule>
  </conditionalFormatting>
  <conditionalFormatting sqref="H2:H49">
    <cfRule type="expression" priority="3" aboveAverage="0" equalAverage="0" bottom="0" percent="0" rank="0" text="" dxfId="9">
      <formula>H2="High"</formula>
    </cfRule>
    <cfRule type="expression" priority="4" aboveAverage="0" equalAverage="0" bottom="0" percent="0" rank="0" text="" dxfId="10">
      <formula>H2="Medium"</formula>
    </cfRule>
    <cfRule type="expression" priority="5" aboveAverage="0" equalAverage="0" bottom="0" percent="0" rank="0" text="" dxfId="11">
      <formula>H2="Low"</formula>
    </cfRule>
  </conditionalFormatting>
  <dataValidations count="6">
    <dataValidation allowBlank="false" errorStyle="stop" operator="between" showDropDown="false" showErrorMessage="false" showInputMessage="false" sqref="D2:D49" type="list">
      <formula1>Lists!$A$2:$A$7</formula1>
      <formula2>0</formula2>
    </dataValidation>
    <dataValidation allowBlank="false" errorStyle="stop" operator="between" showDropDown="false" showErrorMessage="false" showInputMessage="false" sqref="E2:E49" type="list">
      <formula1>Lists!$B$2:$B$4</formula1>
      <formula2>0</formula2>
    </dataValidation>
    <dataValidation allowBlank="false" errorStyle="stop" operator="between" showDropDown="false" showErrorMessage="false" showInputMessage="false" sqref="G2:G49" type="list">
      <formula1>Lists!$C$2:$C$6</formula1>
      <formula2>0</formula2>
    </dataValidation>
    <dataValidation allowBlank="false" errorStyle="stop" operator="between" showDropDown="false" showErrorMessage="false" showInputMessage="false" sqref="H2:H49" type="list">
      <formula1>Lists!$D$2:$D$4</formula1>
      <formula2>0</formula2>
    </dataValidation>
    <dataValidation allowBlank="false" errorStyle="stop" operator="between" showDropDown="false" showErrorMessage="false" showInputMessage="false" sqref="K2:K49" type="list">
      <formula1>Lists!$E$2:$E$5</formula1>
      <formula2>0</formula2>
    </dataValidation>
    <dataValidation allowBlank="false" errorStyle="stop" operator="between" showDropDown="false" showErrorMessage="false" showInputMessage="false" sqref="M2:M49" type="list">
      <formula1>Lists!$F$2:$F$4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20ACDA-66DF-4897-84ED-BEB2F1C4CD5A}">
            <x14:dataBar minLength="10" maxLength="90" axisPosition="automatic" gradient="true">
              <x14:cfvo type="min"/>
              <x14:cfvo type="max"/>
              <x14:negativeFillColor rgb="FFC55A11"/>
              <x14:axisColor rgb="FF000000"/>
            </x14:dataBar>
          </x14:cfRule>
          <xm:sqref>G2:G49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6" min="5" style="0" width="52"/>
    <col collapsed="false" customWidth="true" hidden="false" outlineLevel="0" max="7" min="7" style="0" width="46"/>
    <col collapsed="false" customWidth="true" hidden="false" outlineLevel="0" max="8" min="8" style="0" width="12"/>
  </cols>
  <sheetData>
    <row r="1" customFormat="false" ht="58" hidden="false" customHeight="true" outlineLevel="0" collapsed="false">
      <c r="A1" s="3" t="s">
        <v>328</v>
      </c>
      <c r="B1" s="3" t="s">
        <v>329</v>
      </c>
      <c r="C1" s="3" t="s">
        <v>1</v>
      </c>
      <c r="D1" s="3" t="s">
        <v>330</v>
      </c>
      <c r="E1" s="3" t="s">
        <v>331</v>
      </c>
      <c r="F1" s="3" t="s">
        <v>332</v>
      </c>
      <c r="G1" s="3" t="s">
        <v>333</v>
      </c>
      <c r="H1" s="3" t="s">
        <v>5</v>
      </c>
    </row>
    <row r="2" customFormat="false" ht="58" hidden="false" customHeight="true" outlineLevel="0" collapsed="false">
      <c r="A2" s="4" t="s">
        <v>207</v>
      </c>
      <c r="B2" s="4" t="s">
        <v>334</v>
      </c>
      <c r="C2" s="4" t="s">
        <v>16</v>
      </c>
      <c r="D2" s="4" t="s">
        <v>335</v>
      </c>
      <c r="E2" s="4" t="s">
        <v>336</v>
      </c>
      <c r="F2" s="4" t="s">
        <v>337</v>
      </c>
      <c r="G2" s="4" t="s">
        <v>338</v>
      </c>
      <c r="H2" s="4" t="s">
        <v>12</v>
      </c>
    </row>
    <row r="3" customFormat="false" ht="58" hidden="false" customHeight="true" outlineLevel="0" collapsed="false">
      <c r="A3" s="4" t="s">
        <v>236</v>
      </c>
      <c r="B3" s="4" t="s">
        <v>339</v>
      </c>
      <c r="C3" s="4" t="s">
        <v>16</v>
      </c>
      <c r="D3" s="4" t="s">
        <v>340</v>
      </c>
      <c r="E3" s="4" t="s">
        <v>341</v>
      </c>
      <c r="F3" s="4" t="s">
        <v>342</v>
      </c>
      <c r="G3" s="4" t="s">
        <v>343</v>
      </c>
      <c r="H3" s="4" t="s">
        <v>12</v>
      </c>
    </row>
    <row r="4" customFormat="false" ht="58" hidden="false" customHeight="true" outlineLevel="0" collapsed="false">
      <c r="A4" s="4" t="s">
        <v>162</v>
      </c>
      <c r="B4" s="4" t="s">
        <v>344</v>
      </c>
      <c r="C4" s="4" t="s">
        <v>23</v>
      </c>
      <c r="D4" s="4" t="s">
        <v>345</v>
      </c>
      <c r="E4" s="4" t="s">
        <v>346</v>
      </c>
      <c r="F4" s="4" t="s">
        <v>347</v>
      </c>
      <c r="G4" s="4" t="s">
        <v>348</v>
      </c>
      <c r="H4" s="4" t="s">
        <v>12</v>
      </c>
    </row>
  </sheetData>
  <dataValidations count="2">
    <dataValidation allowBlank="false" errorStyle="stop" operator="between" showDropDown="false" showErrorMessage="false" showInputMessage="false" sqref="C2:C4" type="list">
      <formula1>Lists!$B$3:$B$4</formula1>
      <formula2>0</formula2>
    </dataValidation>
    <dataValidation allowBlank="false" errorStyle="stop" operator="between" showDropDown="false" showErrorMessage="false" showInputMessage="false" sqref="H2:H4" type="list">
      <formula1>Lists!$F$2:$F$4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20"/>
    <col collapsed="false" customWidth="true" hidden="false" outlineLevel="0" max="8" min="8" style="0" width="32"/>
    <col collapsed="false" customWidth="true" hidden="false" outlineLevel="0" max="9" min="9" style="0" width="22"/>
    <col collapsed="false" customWidth="true" hidden="false" outlineLevel="0" max="10" min="10" style="0" width="44"/>
  </cols>
  <sheetData>
    <row r="1" customFormat="false" ht="45" hidden="false" customHeight="true" outlineLevel="0" collapsed="false">
      <c r="A1" s="3" t="s">
        <v>349</v>
      </c>
      <c r="B1" s="3" t="s">
        <v>34</v>
      </c>
      <c r="C1" s="3" t="s">
        <v>350</v>
      </c>
      <c r="D1" s="3" t="s">
        <v>351</v>
      </c>
      <c r="E1" s="3" t="s">
        <v>352</v>
      </c>
      <c r="F1" s="3" t="s">
        <v>353</v>
      </c>
      <c r="G1" s="3" t="s">
        <v>354</v>
      </c>
      <c r="H1" s="3" t="s">
        <v>355</v>
      </c>
      <c r="I1" s="3" t="s">
        <v>356</v>
      </c>
      <c r="J1" s="3" t="s">
        <v>333</v>
      </c>
    </row>
    <row r="2" customFormat="false" ht="45" hidden="false" customHeight="true" outlineLevel="0" collapsed="false">
      <c r="A2" s="4" t="s">
        <v>357</v>
      </c>
      <c r="B2" s="4" t="s">
        <v>84</v>
      </c>
      <c r="C2" s="4" t="s">
        <v>358</v>
      </c>
      <c r="D2" s="4" t="s">
        <v>359</v>
      </c>
      <c r="E2" s="4" t="s">
        <v>14</v>
      </c>
      <c r="F2" s="4" t="s">
        <v>28</v>
      </c>
      <c r="G2" s="4" t="s">
        <v>28</v>
      </c>
      <c r="H2" s="4" t="s">
        <v>360</v>
      </c>
      <c r="I2" s="4" t="s">
        <v>361</v>
      </c>
      <c r="J2" s="4" t="s">
        <v>362</v>
      </c>
    </row>
    <row r="3" customFormat="false" ht="45" hidden="false" customHeight="true" outlineLevel="0" collapsed="false">
      <c r="A3" s="4" t="s">
        <v>363</v>
      </c>
      <c r="B3" s="4" t="s">
        <v>84</v>
      </c>
      <c r="C3" s="4" t="s">
        <v>364</v>
      </c>
      <c r="D3" s="4" t="s">
        <v>365</v>
      </c>
      <c r="E3" s="4" t="s">
        <v>14</v>
      </c>
      <c r="F3" s="4" t="s">
        <v>14</v>
      </c>
      <c r="G3" s="4" t="s">
        <v>21</v>
      </c>
      <c r="H3" s="4" t="s">
        <v>366</v>
      </c>
      <c r="I3" s="4" t="s">
        <v>367</v>
      </c>
      <c r="J3" s="4" t="s">
        <v>368</v>
      </c>
    </row>
    <row r="4" customFormat="false" ht="45" hidden="false" customHeight="true" outlineLevel="0" collapsed="false">
      <c r="A4" s="4" t="s">
        <v>369</v>
      </c>
      <c r="B4" s="4" t="s">
        <v>84</v>
      </c>
      <c r="C4" s="4" t="s">
        <v>370</v>
      </c>
      <c r="D4" s="4" t="s">
        <v>371</v>
      </c>
      <c r="E4" s="4" t="s">
        <v>28</v>
      </c>
      <c r="F4" s="4" t="s">
        <v>14</v>
      </c>
      <c r="G4" s="4" t="s">
        <v>14</v>
      </c>
      <c r="H4" s="4" t="s">
        <v>372</v>
      </c>
      <c r="I4" s="4" t="s">
        <v>373</v>
      </c>
      <c r="J4" s="4" t="s">
        <v>374</v>
      </c>
    </row>
    <row r="5" customFormat="false" ht="45" hidden="false" customHeight="true" outlineLevel="0" collapsed="false">
      <c r="A5" s="4" t="s">
        <v>375</v>
      </c>
      <c r="B5" s="4" t="s">
        <v>99</v>
      </c>
      <c r="C5" s="4" t="s">
        <v>376</v>
      </c>
      <c r="D5" s="4" t="s">
        <v>359</v>
      </c>
      <c r="E5" s="4" t="s">
        <v>14</v>
      </c>
      <c r="F5" s="4" t="s">
        <v>28</v>
      </c>
      <c r="G5" s="4" t="s">
        <v>28</v>
      </c>
      <c r="H5" s="4" t="s">
        <v>377</v>
      </c>
      <c r="I5" s="4" t="s">
        <v>361</v>
      </c>
      <c r="J5" s="4" t="s">
        <v>378</v>
      </c>
    </row>
    <row r="6" customFormat="false" ht="45" hidden="false" customHeight="true" outlineLevel="0" collapsed="false">
      <c r="A6" s="4" t="s">
        <v>379</v>
      </c>
      <c r="B6" s="4" t="s">
        <v>99</v>
      </c>
      <c r="C6" s="4" t="s">
        <v>380</v>
      </c>
      <c r="D6" s="4" t="s">
        <v>371</v>
      </c>
      <c r="E6" s="4" t="s">
        <v>21</v>
      </c>
      <c r="F6" s="4" t="s">
        <v>14</v>
      </c>
      <c r="G6" s="4" t="s">
        <v>21</v>
      </c>
      <c r="H6" s="4" t="s">
        <v>381</v>
      </c>
      <c r="I6" s="4" t="s">
        <v>382</v>
      </c>
      <c r="J6" s="4" t="s">
        <v>383</v>
      </c>
    </row>
    <row r="7" customFormat="false" ht="45" hidden="false" customHeight="true" outlineLevel="0" collapsed="false">
      <c r="A7" s="4" t="s">
        <v>384</v>
      </c>
      <c r="B7" s="4" t="s">
        <v>99</v>
      </c>
      <c r="C7" s="4" t="s">
        <v>385</v>
      </c>
      <c r="D7" s="4" t="s">
        <v>371</v>
      </c>
      <c r="E7" s="4" t="s">
        <v>28</v>
      </c>
      <c r="F7" s="4" t="s">
        <v>14</v>
      </c>
      <c r="G7" s="4" t="s">
        <v>14</v>
      </c>
      <c r="H7" s="4" t="s">
        <v>386</v>
      </c>
      <c r="I7" s="4" t="s">
        <v>382</v>
      </c>
      <c r="J7" s="4" t="s">
        <v>387</v>
      </c>
    </row>
    <row r="8" customFormat="false" ht="45" hidden="false" customHeight="true" outlineLevel="0" collapsed="false">
      <c r="A8" s="4" t="s">
        <v>388</v>
      </c>
      <c r="B8" s="4" t="s">
        <v>104</v>
      </c>
      <c r="C8" s="4" t="s">
        <v>389</v>
      </c>
      <c r="D8" s="4" t="s">
        <v>359</v>
      </c>
      <c r="E8" s="4" t="s">
        <v>14</v>
      </c>
      <c r="F8" s="4" t="s">
        <v>21</v>
      </c>
      <c r="G8" s="4" t="s">
        <v>28</v>
      </c>
      <c r="H8" s="4" t="s">
        <v>390</v>
      </c>
      <c r="I8" s="4" t="s">
        <v>391</v>
      </c>
      <c r="J8" s="4" t="s">
        <v>392</v>
      </c>
    </row>
    <row r="9" customFormat="false" ht="45" hidden="false" customHeight="true" outlineLevel="0" collapsed="false">
      <c r="A9" s="4" t="s">
        <v>393</v>
      </c>
      <c r="B9" s="4" t="s">
        <v>104</v>
      </c>
      <c r="C9" s="4" t="s">
        <v>394</v>
      </c>
      <c r="D9" s="4" t="s">
        <v>371</v>
      </c>
      <c r="E9" s="4" t="s">
        <v>28</v>
      </c>
      <c r="F9" s="4" t="s">
        <v>14</v>
      </c>
      <c r="G9" s="4" t="s">
        <v>14</v>
      </c>
      <c r="H9" s="4" t="s">
        <v>395</v>
      </c>
      <c r="I9" s="4" t="s">
        <v>382</v>
      </c>
      <c r="J9" s="4" t="s">
        <v>396</v>
      </c>
    </row>
    <row r="10" customFormat="false" ht="45" hidden="false" customHeight="true" outlineLevel="0" collapsed="false">
      <c r="A10" s="4" t="s">
        <v>397</v>
      </c>
      <c r="B10" s="4" t="s">
        <v>104</v>
      </c>
      <c r="C10" s="4" t="s">
        <v>398</v>
      </c>
      <c r="D10" s="4" t="s">
        <v>365</v>
      </c>
      <c r="E10" s="4" t="s">
        <v>14</v>
      </c>
      <c r="F10" s="4" t="s">
        <v>14</v>
      </c>
      <c r="G10" s="4" t="s">
        <v>21</v>
      </c>
      <c r="H10" s="4" t="s">
        <v>399</v>
      </c>
      <c r="I10" s="4" t="s">
        <v>400</v>
      </c>
      <c r="J10" s="4" t="s">
        <v>401</v>
      </c>
    </row>
    <row r="11" customFormat="false" ht="45" hidden="false" customHeight="true" outlineLevel="0" collapsed="false">
      <c r="A11" s="4" t="s">
        <v>402</v>
      </c>
      <c r="B11" s="4" t="s">
        <v>109</v>
      </c>
      <c r="C11" s="4" t="s">
        <v>403</v>
      </c>
      <c r="D11" s="4" t="s">
        <v>359</v>
      </c>
      <c r="E11" s="4" t="s">
        <v>14</v>
      </c>
      <c r="F11" s="4" t="s">
        <v>28</v>
      </c>
      <c r="G11" s="4" t="s">
        <v>28</v>
      </c>
      <c r="H11" s="4" t="s">
        <v>404</v>
      </c>
      <c r="I11" s="4" t="s">
        <v>361</v>
      </c>
      <c r="J11" s="4" t="s">
        <v>405</v>
      </c>
    </row>
    <row r="12" customFormat="false" ht="45" hidden="false" customHeight="true" outlineLevel="0" collapsed="false">
      <c r="A12" s="4" t="s">
        <v>406</v>
      </c>
      <c r="B12" s="4" t="s">
        <v>109</v>
      </c>
      <c r="C12" s="4" t="s">
        <v>407</v>
      </c>
      <c r="D12" s="4" t="s">
        <v>371</v>
      </c>
      <c r="E12" s="4" t="s">
        <v>21</v>
      </c>
      <c r="F12" s="4" t="s">
        <v>14</v>
      </c>
      <c r="G12" s="4" t="s">
        <v>21</v>
      </c>
      <c r="H12" s="4" t="s">
        <v>381</v>
      </c>
      <c r="I12" s="4" t="s">
        <v>382</v>
      </c>
      <c r="J12" s="4" t="s">
        <v>408</v>
      </c>
    </row>
    <row r="13" customFormat="false" ht="45" hidden="false" customHeight="true" outlineLevel="0" collapsed="false">
      <c r="A13" s="4" t="s">
        <v>409</v>
      </c>
      <c r="B13" s="4" t="s">
        <v>109</v>
      </c>
      <c r="C13" s="4" t="s">
        <v>410</v>
      </c>
      <c r="D13" s="4" t="s">
        <v>411</v>
      </c>
      <c r="E13" s="4" t="s">
        <v>28</v>
      </c>
      <c r="F13" s="4" t="s">
        <v>14</v>
      </c>
      <c r="G13" s="4" t="s">
        <v>14</v>
      </c>
      <c r="H13" s="4" t="s">
        <v>381</v>
      </c>
      <c r="I13" s="4" t="s">
        <v>412</v>
      </c>
      <c r="J13" s="4" t="s">
        <v>413</v>
      </c>
    </row>
    <row r="14" customFormat="false" ht="45" hidden="false" customHeight="true" outlineLevel="0" collapsed="false">
      <c r="A14" s="4" t="s">
        <v>414</v>
      </c>
      <c r="B14" s="4" t="s">
        <v>114</v>
      </c>
      <c r="C14" s="4" t="s">
        <v>415</v>
      </c>
      <c r="D14" s="4" t="s">
        <v>359</v>
      </c>
      <c r="E14" s="4" t="s">
        <v>14</v>
      </c>
      <c r="F14" s="4" t="s">
        <v>21</v>
      </c>
      <c r="G14" s="4" t="s">
        <v>28</v>
      </c>
      <c r="H14" s="4" t="s">
        <v>381</v>
      </c>
      <c r="I14" s="4" t="s">
        <v>367</v>
      </c>
      <c r="J14" s="4" t="s">
        <v>416</v>
      </c>
    </row>
    <row r="15" customFormat="false" ht="45" hidden="false" customHeight="true" outlineLevel="0" collapsed="false">
      <c r="A15" s="4" t="s">
        <v>417</v>
      </c>
      <c r="B15" s="4" t="s">
        <v>114</v>
      </c>
      <c r="C15" s="4" t="s">
        <v>418</v>
      </c>
      <c r="D15" s="4" t="s">
        <v>365</v>
      </c>
      <c r="E15" s="4" t="s">
        <v>28</v>
      </c>
      <c r="F15" s="4" t="s">
        <v>14</v>
      </c>
      <c r="G15" s="4" t="s">
        <v>21</v>
      </c>
      <c r="H15" s="4" t="s">
        <v>381</v>
      </c>
      <c r="I15" s="4" t="s">
        <v>419</v>
      </c>
      <c r="J15" s="4" t="s">
        <v>420</v>
      </c>
    </row>
    <row r="16" customFormat="false" ht="45" hidden="false" customHeight="true" outlineLevel="0" collapsed="false">
      <c r="A16" s="4" t="s">
        <v>421</v>
      </c>
      <c r="B16" s="4" t="s">
        <v>114</v>
      </c>
      <c r="C16" s="4" t="s">
        <v>422</v>
      </c>
      <c r="D16" s="4" t="s">
        <v>411</v>
      </c>
      <c r="E16" s="4" t="s">
        <v>28</v>
      </c>
      <c r="F16" s="4" t="s">
        <v>14</v>
      </c>
      <c r="G16" s="4" t="s">
        <v>14</v>
      </c>
      <c r="H16" s="4" t="s">
        <v>423</v>
      </c>
      <c r="I16" s="4" t="s">
        <v>367</v>
      </c>
      <c r="J16" s="4" t="s">
        <v>424</v>
      </c>
    </row>
    <row r="17" customFormat="false" ht="45" hidden="false" customHeight="true" outlineLevel="0" collapsed="false">
      <c r="A17" s="4" t="s">
        <v>425</v>
      </c>
      <c r="B17" s="4" t="s">
        <v>119</v>
      </c>
      <c r="C17" s="4" t="s">
        <v>426</v>
      </c>
      <c r="D17" s="4" t="s">
        <v>359</v>
      </c>
      <c r="E17" s="4" t="s">
        <v>14</v>
      </c>
      <c r="F17" s="4" t="s">
        <v>28</v>
      </c>
      <c r="G17" s="4" t="s">
        <v>28</v>
      </c>
      <c r="H17" s="4" t="s">
        <v>427</v>
      </c>
      <c r="I17" s="4" t="s">
        <v>361</v>
      </c>
      <c r="J17" s="4" t="s">
        <v>428</v>
      </c>
    </row>
    <row r="18" customFormat="false" ht="45" hidden="false" customHeight="true" outlineLevel="0" collapsed="false">
      <c r="A18" s="4" t="s">
        <v>429</v>
      </c>
      <c r="B18" s="4" t="s">
        <v>119</v>
      </c>
      <c r="C18" s="4" t="s">
        <v>430</v>
      </c>
      <c r="D18" s="4" t="s">
        <v>365</v>
      </c>
      <c r="E18" s="4" t="s">
        <v>14</v>
      </c>
      <c r="F18" s="4" t="s">
        <v>14</v>
      </c>
      <c r="G18" s="4" t="s">
        <v>21</v>
      </c>
      <c r="H18" s="4" t="s">
        <v>431</v>
      </c>
      <c r="I18" s="4" t="s">
        <v>432</v>
      </c>
      <c r="J18" s="4" t="s">
        <v>433</v>
      </c>
    </row>
    <row r="19" customFormat="false" ht="45" hidden="false" customHeight="true" outlineLevel="0" collapsed="false">
      <c r="A19" s="4" t="s">
        <v>434</v>
      </c>
      <c r="B19" s="4" t="s">
        <v>119</v>
      </c>
      <c r="C19" s="4" t="s">
        <v>435</v>
      </c>
      <c r="D19" s="4" t="s">
        <v>371</v>
      </c>
      <c r="E19" s="4" t="s">
        <v>28</v>
      </c>
      <c r="F19" s="4" t="s">
        <v>14</v>
      </c>
      <c r="G19" s="4" t="s">
        <v>14</v>
      </c>
      <c r="H19" s="4" t="s">
        <v>436</v>
      </c>
      <c r="I19" s="4" t="s">
        <v>373</v>
      </c>
      <c r="J19" s="4" t="s">
        <v>437</v>
      </c>
    </row>
    <row r="20" customFormat="false" ht="45" hidden="false" customHeight="true" outlineLevel="0" collapsed="false">
      <c r="A20" s="4" t="s">
        <v>438</v>
      </c>
      <c r="B20" s="4" t="s">
        <v>89</v>
      </c>
      <c r="C20" s="4" t="s">
        <v>439</v>
      </c>
      <c r="D20" s="4" t="s">
        <v>359</v>
      </c>
      <c r="E20" s="4" t="s">
        <v>14</v>
      </c>
      <c r="F20" s="4" t="s">
        <v>21</v>
      </c>
      <c r="G20" s="4" t="s">
        <v>28</v>
      </c>
      <c r="H20" s="4" t="s">
        <v>440</v>
      </c>
      <c r="I20" s="4" t="s">
        <v>361</v>
      </c>
      <c r="J20" s="4" t="s">
        <v>441</v>
      </c>
    </row>
    <row r="21" customFormat="false" ht="45" hidden="false" customHeight="true" outlineLevel="0" collapsed="false">
      <c r="A21" s="4" t="s">
        <v>442</v>
      </c>
      <c r="B21" s="4" t="s">
        <v>89</v>
      </c>
      <c r="C21" s="4" t="s">
        <v>443</v>
      </c>
      <c r="D21" s="4" t="s">
        <v>411</v>
      </c>
      <c r="E21" s="4" t="s">
        <v>28</v>
      </c>
      <c r="F21" s="4" t="s">
        <v>14</v>
      </c>
      <c r="G21" s="4" t="s">
        <v>14</v>
      </c>
      <c r="H21" s="4" t="s">
        <v>440</v>
      </c>
      <c r="I21" s="4" t="s">
        <v>361</v>
      </c>
      <c r="J21" s="4" t="s">
        <v>444</v>
      </c>
    </row>
    <row r="22" customFormat="false" ht="45" hidden="false" customHeight="true" outlineLevel="0" collapsed="false">
      <c r="A22" s="4" t="s">
        <v>445</v>
      </c>
      <c r="B22" s="4" t="s">
        <v>94</v>
      </c>
      <c r="C22" s="4" t="s">
        <v>446</v>
      </c>
      <c r="D22" s="4" t="s">
        <v>359</v>
      </c>
      <c r="E22" s="4" t="s">
        <v>14</v>
      </c>
      <c r="F22" s="4" t="s">
        <v>28</v>
      </c>
      <c r="G22" s="4" t="s">
        <v>28</v>
      </c>
      <c r="H22" s="4" t="s">
        <v>440</v>
      </c>
      <c r="I22" s="4" t="s">
        <v>361</v>
      </c>
      <c r="J22" s="4" t="s">
        <v>447</v>
      </c>
    </row>
    <row r="23" customFormat="false" ht="45" hidden="false" customHeight="true" outlineLevel="0" collapsed="false">
      <c r="A23" s="4" t="s">
        <v>448</v>
      </c>
      <c r="B23" s="4" t="s">
        <v>94</v>
      </c>
      <c r="C23" s="4" t="s">
        <v>449</v>
      </c>
      <c r="D23" s="4" t="s">
        <v>365</v>
      </c>
      <c r="E23" s="4" t="s">
        <v>28</v>
      </c>
      <c r="F23" s="4" t="s">
        <v>14</v>
      </c>
      <c r="G23" s="4" t="s">
        <v>14</v>
      </c>
      <c r="H23" s="4" t="s">
        <v>423</v>
      </c>
      <c r="I23" s="4" t="s">
        <v>367</v>
      </c>
      <c r="J23" s="4" t="s">
        <v>450</v>
      </c>
    </row>
  </sheetData>
  <dataValidations count="3">
    <dataValidation allowBlank="false" errorStyle="stop" operator="between" showDropDown="false" showErrorMessage="false" showInputMessage="false" sqref="E2:E23" type="list">
      <formula1>Lists!$H$2:$H$4</formula1>
      <formula2>0</formula2>
    </dataValidation>
    <dataValidation allowBlank="false" errorStyle="stop" operator="between" showDropDown="false" showErrorMessage="false" showInputMessage="false" sqref="F2:F23" type="list">
      <formula1>Lists!$H$2:$H$4</formula1>
      <formula2>0</formula2>
    </dataValidation>
    <dataValidation allowBlank="false" errorStyle="stop" operator="between" showDropDown="false" showErrorMessage="false" showInputMessage="false" sqref="G2:G23" type="list">
      <formula1>Lists!$H$2:$H$4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.0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24"/>
  </cols>
  <sheetData>
    <row r="1" customFormat="false" ht="13.8" hidden="false" customHeight="true" outlineLevel="0" collapsed="false">
      <c r="A1" s="3" t="s">
        <v>34</v>
      </c>
      <c r="B1" s="3" t="s">
        <v>35</v>
      </c>
      <c r="C1" s="3" t="s">
        <v>451</v>
      </c>
      <c r="D1" s="3" t="s">
        <v>452</v>
      </c>
      <c r="E1" s="3" t="s">
        <v>453</v>
      </c>
      <c r="F1" s="3" t="s">
        <v>454</v>
      </c>
      <c r="G1" s="3" t="s">
        <v>455</v>
      </c>
      <c r="I1" s="5" t="s">
        <v>456</v>
      </c>
      <c r="J1" s="5"/>
      <c r="K1" s="5"/>
      <c r="L1" s="5"/>
      <c r="M1" s="5"/>
      <c r="N1" s="5"/>
    </row>
    <row r="2" customFormat="false" ht="23.85" hidden="false" customHeight="false" outlineLevel="0" collapsed="false">
      <c r="A2" s="4" t="s">
        <v>41</v>
      </c>
      <c r="B2" s="4" t="s">
        <v>42</v>
      </c>
      <c r="C2" s="6" t="n">
        <f aca="false">COUNTIF(Dependencies!$B$2:$B$49,A2)</f>
        <v>1</v>
      </c>
      <c r="D2" s="6" t="n">
        <f aca="false">COUNTIF(Dependencies!$C$2:$C$49,A2)</f>
        <v>0</v>
      </c>
      <c r="E2" s="6" t="n">
        <f aca="false">SUMIF(Dependencies!$B$2:$B$49,A2,Dependencies!$G$2:$G$49)</f>
        <v>75</v>
      </c>
      <c r="F2" s="6" t="n">
        <f aca="false">COUNTIFS(Dependencies!$B$2:$B$49,A2,Dependencies!$H$2:$H$49,"High")</f>
        <v>1</v>
      </c>
      <c r="G2" s="6" t="n">
        <f aca="false">ROUND(35*(C2/MAX($C$2:$C$18))+50*(E2/MAX($E$2:$E$18))+15*(F2/MAX($F$2:$F$18)),0)</f>
        <v>19</v>
      </c>
      <c r="I2" s="5"/>
      <c r="J2" s="5"/>
      <c r="K2" s="5"/>
      <c r="L2" s="5"/>
      <c r="M2" s="5"/>
    </row>
    <row r="3" customFormat="false" ht="35.05" hidden="false" customHeight="false" outlineLevel="0" collapsed="false">
      <c r="A3" s="4" t="s">
        <v>47</v>
      </c>
      <c r="B3" s="4" t="s">
        <v>48</v>
      </c>
      <c r="C3" s="6" t="n">
        <f aca="false">COUNTIF(Dependencies!$B$2:$B$49,A3)</f>
        <v>1</v>
      </c>
      <c r="D3" s="6" t="n">
        <f aca="false">COUNTIF(Dependencies!$C$2:$C$49,A3)</f>
        <v>0</v>
      </c>
      <c r="E3" s="6" t="n">
        <f aca="false">SUMIF(Dependencies!$B$2:$B$49,A3,Dependencies!$G$2:$G$49)</f>
        <v>75</v>
      </c>
      <c r="F3" s="6" t="n">
        <f aca="false">COUNTIFS(Dependencies!$B$2:$B$49,A3,Dependencies!$H$2:$H$49,"High")</f>
        <v>1</v>
      </c>
      <c r="G3" s="6" t="n">
        <f aca="false">ROUND(35*(C3/MAX($C$2:$C$18))+50*(E3/MAX($E$2:$E$18))+15*(F3/MAX($F$2:$F$18)),0)</f>
        <v>19</v>
      </c>
      <c r="I3" s="5"/>
      <c r="J3" s="5"/>
      <c r="K3" s="5"/>
      <c r="L3" s="5"/>
      <c r="M3" s="5"/>
    </row>
    <row r="4" customFormat="false" ht="23.85" hidden="false" customHeight="false" outlineLevel="0" collapsed="false">
      <c r="A4" s="4" t="s">
        <v>51</v>
      </c>
      <c r="B4" s="4" t="s">
        <v>52</v>
      </c>
      <c r="C4" s="6" t="n">
        <f aca="false">COUNTIF(Dependencies!$B$2:$B$49,A4)</f>
        <v>1</v>
      </c>
      <c r="D4" s="6" t="n">
        <f aca="false">COUNTIF(Dependencies!$C$2:$C$49,A4)</f>
        <v>1</v>
      </c>
      <c r="E4" s="6" t="n">
        <f aca="false">SUMIF(Dependencies!$B$2:$B$49,A4,Dependencies!$G$2:$G$49)</f>
        <v>50</v>
      </c>
      <c r="F4" s="6" t="n">
        <f aca="false">COUNTIFS(Dependencies!$B$2:$B$49,A4,Dependencies!$H$2:$H$49,"High")</f>
        <v>0</v>
      </c>
      <c r="G4" s="6" t="n">
        <f aca="false">ROUND(35*(C4/MAX($C$2:$C$18))+50*(E4/MAX($E$2:$E$18))+15*(F4/MAX($F$2:$F$18)),0)</f>
        <v>13</v>
      </c>
    </row>
    <row r="5" customFormat="false" ht="13.8" hidden="false" customHeight="false" outlineLevel="0" collapsed="false">
      <c r="A5" s="4" t="s">
        <v>56</v>
      </c>
      <c r="B5" s="4" t="s">
        <v>57</v>
      </c>
      <c r="C5" s="6" t="n">
        <f aca="false">COUNTIF(Dependencies!$B$2:$B$49,A5)</f>
        <v>3</v>
      </c>
      <c r="D5" s="6" t="n">
        <f aca="false">COUNTIF(Dependencies!$C$2:$C$49,A5)</f>
        <v>0</v>
      </c>
      <c r="E5" s="6" t="n">
        <f aca="false">SUMIF(Dependencies!$B$2:$B$49,A5,Dependencies!$G$2:$G$49)</f>
        <v>150</v>
      </c>
      <c r="F5" s="6" t="n">
        <f aca="false">COUNTIFS(Dependencies!$B$2:$B$49,A5,Dependencies!$H$2:$H$49,"High")</f>
        <v>3</v>
      </c>
      <c r="G5" s="6" t="n">
        <f aca="false">ROUND(35*(C5/MAX($C$2:$C$18))+50*(E5/MAX($E$2:$E$18))+15*(F5/MAX($F$2:$F$18)),0)</f>
        <v>47</v>
      </c>
    </row>
    <row r="6" customFormat="false" ht="23.85" hidden="false" customHeight="false" outlineLevel="0" collapsed="false">
      <c r="A6" s="4" t="s">
        <v>61</v>
      </c>
      <c r="B6" s="4" t="s">
        <v>62</v>
      </c>
      <c r="C6" s="6" t="n">
        <f aca="false">COUNTIF(Dependencies!$B$2:$B$49,A6)</f>
        <v>2</v>
      </c>
      <c r="D6" s="6" t="n">
        <f aca="false">COUNTIF(Dependencies!$C$2:$C$49,A6)</f>
        <v>0</v>
      </c>
      <c r="E6" s="6" t="n">
        <f aca="false">SUMIF(Dependencies!$B$2:$B$49,A6,Dependencies!$G$2:$G$49)</f>
        <v>100</v>
      </c>
      <c r="F6" s="6" t="n">
        <f aca="false">COUNTIFS(Dependencies!$B$2:$B$49,A6,Dependencies!$H$2:$H$49,"High")</f>
        <v>2</v>
      </c>
      <c r="G6" s="6" t="n">
        <f aca="false">ROUND(35*(C6/MAX($C$2:$C$18))+50*(E6/MAX($E$2:$E$18))+15*(F6/MAX($F$2:$F$18)),0)</f>
        <v>31</v>
      </c>
    </row>
    <row r="7" customFormat="false" ht="35.05" hidden="false" customHeight="false" outlineLevel="0" collapsed="false">
      <c r="A7" s="4" t="s">
        <v>66</v>
      </c>
      <c r="B7" s="4" t="s">
        <v>67</v>
      </c>
      <c r="C7" s="6" t="n">
        <f aca="false">COUNTIF(Dependencies!$B$2:$B$49,A7)</f>
        <v>5</v>
      </c>
      <c r="D7" s="6" t="n">
        <f aca="false">COUNTIF(Dependencies!$C$2:$C$49,A7)</f>
        <v>3</v>
      </c>
      <c r="E7" s="6" t="n">
        <f aca="false">SUMIF(Dependencies!$B$2:$B$49,A7,Dependencies!$G$2:$G$49)</f>
        <v>275</v>
      </c>
      <c r="F7" s="6" t="n">
        <f aca="false">COUNTIFS(Dependencies!$B$2:$B$49,A7,Dependencies!$H$2:$H$49,"High")</f>
        <v>5</v>
      </c>
      <c r="G7" s="6" t="n">
        <f aca="false">ROUND(35*(C7/MAX($C$2:$C$18))+50*(E7/MAX($E$2:$E$18))+15*(F7/MAX($F$2:$F$18)),0)</f>
        <v>81</v>
      </c>
    </row>
    <row r="8" customFormat="false" ht="13.8" hidden="false" customHeight="false" outlineLevel="0" collapsed="false">
      <c r="A8" s="4" t="s">
        <v>71</v>
      </c>
      <c r="B8" s="4" t="s">
        <v>72</v>
      </c>
      <c r="C8" s="6" t="n">
        <f aca="false">COUNTIF(Dependencies!$B$2:$B$49,A8)</f>
        <v>3</v>
      </c>
      <c r="D8" s="6" t="n">
        <f aca="false">COUNTIF(Dependencies!$C$2:$C$49,A8)</f>
        <v>1</v>
      </c>
      <c r="E8" s="6" t="n">
        <f aca="false">SUMIF(Dependencies!$B$2:$B$49,A8,Dependencies!$G$2:$G$49)</f>
        <v>75</v>
      </c>
      <c r="F8" s="6" t="n">
        <f aca="false">COUNTIFS(Dependencies!$B$2:$B$49,A8,Dependencies!$H$2:$H$49,"High")</f>
        <v>0</v>
      </c>
      <c r="G8" s="6" t="n">
        <f aca="false">ROUND(35*(C8/MAX($C$2:$C$18))+50*(E8/MAX($E$2:$E$18))+15*(F8/MAX($F$2:$F$18)),0)</f>
        <v>28</v>
      </c>
    </row>
    <row r="9" customFormat="false" ht="23.85" hidden="false" customHeight="false" outlineLevel="0" collapsed="false">
      <c r="A9" s="4" t="s">
        <v>76</v>
      </c>
      <c r="B9" s="4" t="s">
        <v>77</v>
      </c>
      <c r="C9" s="6" t="n">
        <f aca="false">COUNTIF(Dependencies!$B$2:$B$49,A9)</f>
        <v>4</v>
      </c>
      <c r="D9" s="6" t="n">
        <f aca="false">COUNTIF(Dependencies!$C$2:$C$49,A9)</f>
        <v>0</v>
      </c>
      <c r="E9" s="6" t="n">
        <f aca="false">SUMIF(Dependencies!$B$2:$B$49,A9,Dependencies!$G$2:$G$49)</f>
        <v>250</v>
      </c>
      <c r="F9" s="6" t="n">
        <f aca="false">COUNTIFS(Dependencies!$B$2:$B$49,A9,Dependencies!$H$2:$H$49,"High")</f>
        <v>4</v>
      </c>
      <c r="G9" s="6" t="n">
        <f aca="false">ROUND(35*(C9/MAX($C$2:$C$18))+50*(E9/MAX($E$2:$E$18))+15*(F9/MAX($F$2:$F$18)),0)</f>
        <v>69</v>
      </c>
    </row>
    <row r="10" customFormat="false" ht="13.8" hidden="false" customHeight="false" outlineLevel="0" collapsed="false">
      <c r="A10" s="4" t="s">
        <v>80</v>
      </c>
      <c r="B10" s="4" t="s">
        <v>81</v>
      </c>
      <c r="C10" s="6" t="n">
        <f aca="false">COUNTIF(Dependencies!$B$2:$B$49,A10)</f>
        <v>2</v>
      </c>
      <c r="D10" s="6" t="n">
        <f aca="false">COUNTIF(Dependencies!$C$2:$C$49,A10)</f>
        <v>0</v>
      </c>
      <c r="E10" s="6" t="n">
        <f aca="false">SUMIF(Dependencies!$B$2:$B$49,A10,Dependencies!$G$2:$G$49)</f>
        <v>100</v>
      </c>
      <c r="F10" s="6" t="n">
        <f aca="false">COUNTIFS(Dependencies!$B$2:$B$49,A10,Dependencies!$H$2:$H$49,"High")</f>
        <v>2</v>
      </c>
      <c r="G10" s="6" t="n">
        <f aca="false">ROUND(35*(C10/MAX($C$2:$C$18))+50*(E10/MAX($E$2:$E$18))+15*(F10/MAX($F$2:$F$18)),0)</f>
        <v>31</v>
      </c>
    </row>
    <row r="11" customFormat="false" ht="35.05" hidden="false" customHeight="false" outlineLevel="0" collapsed="false">
      <c r="A11" s="4" t="s">
        <v>84</v>
      </c>
      <c r="B11" s="4" t="s">
        <v>85</v>
      </c>
      <c r="C11" s="6" t="n">
        <f aca="false">COUNTIF(Dependencies!$B$2:$B$49,A11)</f>
        <v>6</v>
      </c>
      <c r="D11" s="6" t="n">
        <f aca="false">COUNTIF(Dependencies!$C$2:$C$49,A11)</f>
        <v>12</v>
      </c>
      <c r="E11" s="6" t="n">
        <f aca="false">SUMIF(Dependencies!$B$2:$B$49,A11,Dependencies!$G$2:$G$49)</f>
        <v>375</v>
      </c>
      <c r="F11" s="6" t="n">
        <f aca="false">COUNTIFS(Dependencies!$B$2:$B$49,A11,Dependencies!$H$2:$H$49,"High")</f>
        <v>3</v>
      </c>
      <c r="G11" s="6" t="n">
        <f aca="false">ROUND(35*(C11/MAX($C$2:$C$18))+50*(E11/MAX($E$2:$E$18))+15*(F11/MAX($F$2:$F$18)),0)</f>
        <v>94</v>
      </c>
    </row>
    <row r="12" customFormat="false" ht="35.05" hidden="false" customHeight="false" outlineLevel="0" collapsed="false">
      <c r="A12" s="4" t="s">
        <v>89</v>
      </c>
      <c r="B12" s="4" t="s">
        <v>90</v>
      </c>
      <c r="C12" s="6" t="n">
        <f aca="false">COUNTIF(Dependencies!$B$2:$B$49,A12)</f>
        <v>1</v>
      </c>
      <c r="D12" s="6" t="n">
        <f aca="false">COUNTIF(Dependencies!$C$2:$C$49,A12)</f>
        <v>2</v>
      </c>
      <c r="E12" s="6" t="n">
        <f aca="false">SUMIF(Dependencies!$B$2:$B$49,A12,Dependencies!$G$2:$G$49)</f>
        <v>75</v>
      </c>
      <c r="F12" s="6" t="n">
        <f aca="false">COUNTIFS(Dependencies!$B$2:$B$49,A12,Dependencies!$H$2:$H$49,"High")</f>
        <v>1</v>
      </c>
      <c r="G12" s="6" t="n">
        <f aca="false">ROUND(35*(C12/MAX($C$2:$C$18))+50*(E12/MAX($E$2:$E$18))+15*(F12/MAX($F$2:$F$18)),0)</f>
        <v>19</v>
      </c>
    </row>
    <row r="13" customFormat="false" ht="35.05" hidden="false" customHeight="false" outlineLevel="0" collapsed="false">
      <c r="A13" s="4" t="s">
        <v>94</v>
      </c>
      <c r="B13" s="4" t="s">
        <v>95</v>
      </c>
      <c r="C13" s="6" t="n">
        <f aca="false">COUNTIF(Dependencies!$B$2:$B$49,A13)</f>
        <v>1</v>
      </c>
      <c r="D13" s="6" t="n">
        <f aca="false">COUNTIF(Dependencies!$C$2:$C$49,A13)</f>
        <v>3</v>
      </c>
      <c r="E13" s="6" t="n">
        <f aca="false">SUMIF(Dependencies!$B$2:$B$49,A13,Dependencies!$G$2:$G$49)</f>
        <v>25</v>
      </c>
      <c r="F13" s="6" t="n">
        <f aca="false">COUNTIFS(Dependencies!$B$2:$B$49,A13,Dependencies!$H$2:$H$49,"High")</f>
        <v>0</v>
      </c>
      <c r="G13" s="6" t="n">
        <f aca="false">ROUND(35*(C13/MAX($C$2:$C$18))+50*(E13/MAX($E$2:$E$18))+15*(F13/MAX($F$2:$F$18)),0)</f>
        <v>9</v>
      </c>
    </row>
    <row r="14" customFormat="false" ht="23.85" hidden="false" customHeight="false" outlineLevel="0" collapsed="false">
      <c r="A14" s="4" t="s">
        <v>99</v>
      </c>
      <c r="B14" s="4" t="s">
        <v>100</v>
      </c>
      <c r="C14" s="6" t="n">
        <f aca="false">COUNTIF(Dependencies!$B$2:$B$49,A14)</f>
        <v>4</v>
      </c>
      <c r="D14" s="6" t="n">
        <f aca="false">COUNTIF(Dependencies!$C$2:$C$49,A14)</f>
        <v>8</v>
      </c>
      <c r="E14" s="6" t="n">
        <f aca="false">SUMIF(Dependencies!$B$2:$B$49,A14,Dependencies!$G$2:$G$49)</f>
        <v>150</v>
      </c>
      <c r="F14" s="6" t="n">
        <f aca="false">COUNTIFS(Dependencies!$B$2:$B$49,A14,Dependencies!$H$2:$H$49,"High")</f>
        <v>1</v>
      </c>
      <c r="G14" s="6" t="n">
        <f aca="false">ROUND(35*(C14/MAX($C$2:$C$18))+50*(E14/MAX($E$2:$E$18))+15*(F14/MAX($F$2:$F$18)),0)</f>
        <v>46</v>
      </c>
    </row>
    <row r="15" customFormat="false" ht="23.85" hidden="false" customHeight="false" outlineLevel="0" collapsed="false">
      <c r="A15" s="4" t="s">
        <v>104</v>
      </c>
      <c r="B15" s="4" t="s">
        <v>105</v>
      </c>
      <c r="C15" s="6" t="n">
        <f aca="false">COUNTIF(Dependencies!$B$2:$B$49,A15)</f>
        <v>4</v>
      </c>
      <c r="D15" s="6" t="n">
        <f aca="false">COUNTIF(Dependencies!$C$2:$C$49,A15)</f>
        <v>4</v>
      </c>
      <c r="E15" s="6" t="n">
        <f aca="false">SUMIF(Dependencies!$B$2:$B$49,A15,Dependencies!$G$2:$G$49)</f>
        <v>175</v>
      </c>
      <c r="F15" s="6" t="n">
        <f aca="false">COUNTIFS(Dependencies!$B$2:$B$49,A15,Dependencies!$H$2:$H$49,"High")</f>
        <v>2</v>
      </c>
      <c r="G15" s="6" t="n">
        <f aca="false">ROUND(35*(C15/MAX($C$2:$C$18))+50*(E15/MAX($E$2:$E$18))+15*(F15/MAX($F$2:$F$18)),0)</f>
        <v>53</v>
      </c>
    </row>
    <row r="16" customFormat="false" ht="13.8" hidden="false" customHeight="false" outlineLevel="0" collapsed="false">
      <c r="A16" s="4" t="s">
        <v>109</v>
      </c>
      <c r="B16" s="4" t="s">
        <v>110</v>
      </c>
      <c r="C16" s="6" t="n">
        <f aca="false">COUNTIF(Dependencies!$B$2:$B$49,A16)</f>
        <v>3</v>
      </c>
      <c r="D16" s="6" t="n">
        <f aca="false">COUNTIF(Dependencies!$C$2:$C$49,A16)</f>
        <v>2</v>
      </c>
      <c r="E16" s="6" t="n">
        <f aca="false">SUMIF(Dependencies!$B$2:$B$49,A16,Dependencies!$G$2:$G$49)</f>
        <v>150</v>
      </c>
      <c r="F16" s="6" t="n">
        <f aca="false">COUNTIFS(Dependencies!$B$2:$B$49,A16,Dependencies!$H$2:$H$49,"High")</f>
        <v>1</v>
      </c>
      <c r="G16" s="6" t="n">
        <f aca="false">ROUND(35*(C16/MAX($C$2:$C$18))+50*(E16/MAX($E$2:$E$18))+15*(F16/MAX($F$2:$F$18)),0)</f>
        <v>41</v>
      </c>
    </row>
    <row r="17" customFormat="false" ht="13.8" hidden="false" customHeight="false" outlineLevel="0" collapsed="false">
      <c r="A17" s="4" t="s">
        <v>114</v>
      </c>
      <c r="B17" s="4" t="s">
        <v>115</v>
      </c>
      <c r="C17" s="6" t="n">
        <f aca="false">COUNTIF(Dependencies!$B$2:$B$49,A17)</f>
        <v>3</v>
      </c>
      <c r="D17" s="6" t="n">
        <f aca="false">COUNTIF(Dependencies!$C$2:$C$49,A17)</f>
        <v>6</v>
      </c>
      <c r="E17" s="6" t="n">
        <f aca="false">SUMIF(Dependencies!$B$2:$B$49,A17,Dependencies!$G$2:$G$49)</f>
        <v>150</v>
      </c>
      <c r="F17" s="6" t="n">
        <f aca="false">COUNTIFS(Dependencies!$B$2:$B$49,A17,Dependencies!$H$2:$H$49,"High")</f>
        <v>1</v>
      </c>
      <c r="G17" s="6" t="n">
        <f aca="false">ROUND(35*(C17/MAX($C$2:$C$18))+50*(E17/MAX($E$2:$E$18))+15*(F17/MAX($F$2:$F$18)),0)</f>
        <v>41</v>
      </c>
    </row>
    <row r="18" customFormat="false" ht="15" hidden="false" customHeight="false" outlineLevel="0" collapsed="false">
      <c r="A18" s="4" t="s">
        <v>119</v>
      </c>
      <c r="B18" s="4" t="s">
        <v>120</v>
      </c>
      <c r="C18" s="6" t="n">
        <f aca="false">COUNTIF(Dependencies!$B$2:$B$49,A18)</f>
        <v>4</v>
      </c>
      <c r="D18" s="6" t="n">
        <f aca="false">COUNTIF(Dependencies!$C$2:$C$49,A18)</f>
        <v>6</v>
      </c>
      <c r="E18" s="6" t="n">
        <f aca="false">SUMIF(Dependencies!$B$2:$B$49,A18,Dependencies!$G$2:$G$49)</f>
        <v>225</v>
      </c>
      <c r="F18" s="6" t="n">
        <f aca="false">COUNTIFS(Dependencies!$B$2:$B$49,A18,Dependencies!$H$2:$H$49,"High")</f>
        <v>3</v>
      </c>
      <c r="G18" s="6" t="n">
        <f aca="false">ROUND(35*(C18/MAX($C$2:$C$18))+50*(E18/MAX($E$2:$E$18))+15*(F18/MAX($F$2:$F$18)),0)</f>
        <v>62</v>
      </c>
    </row>
  </sheetData>
  <mergeCells count="1">
    <mergeCell ref="I1:N3"/>
  </mergeCells>
  <conditionalFormatting sqref="G2:G18">
    <cfRule type="dataBar" priority="2">
      <dataBar showValue="1" minLength="10" maxLength="90">
        <cfvo type="min" val="0"/>
        <cfvo type="max" val="0"/>
        <color rgb="FF2F75B5"/>
      </dataBar>
      <extLst>
        <ext xmlns:x14="http://schemas.microsoft.com/office/spreadsheetml/2009/9/main" uri="{B025F937-C7B1-47D3-B67F-A62EFF666E3E}">
          <x14:id>{55E11E9F-DA7B-4668-9FE0-753095D4BD46}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E11E9F-DA7B-4668-9FE0-753095D4BD46}">
            <x14:dataBar minLength="10" maxLength="90" axisPosition="automatic" gradient="true">
              <x14:cfvo type="min"/>
              <x14:cfvo type="max"/>
              <x14:negativeFillColor rgb="FF2F75B5"/>
              <x14:axisColor rgb="FF000000"/>
            </x14:dataBar>
          </x14:cfRule>
          <xm:sqref>G2:G18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8" min="6" style="0" width="14"/>
  </cols>
  <sheetData>
    <row r="1" customFormat="false" ht="15" hidden="false" customHeight="false" outlineLevel="0" collapsed="false">
      <c r="A1" s="7" t="s">
        <v>457</v>
      </c>
      <c r="B1" s="7"/>
      <c r="C1" s="7"/>
      <c r="D1" s="7"/>
      <c r="E1" s="7"/>
      <c r="F1" s="7"/>
      <c r="G1" s="7"/>
      <c r="H1" s="7"/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/>
    </row>
    <row r="3" customFormat="false" ht="15" hidden="false" customHeight="false" outlineLevel="0" collapsed="false">
      <c r="A3" s="8" t="s">
        <v>458</v>
      </c>
      <c r="B3" s="8"/>
      <c r="C3" s="8"/>
      <c r="D3" s="8"/>
      <c r="E3" s="8"/>
      <c r="F3" s="8"/>
      <c r="G3" s="8"/>
      <c r="H3" s="8"/>
    </row>
    <row r="5" customFormat="false" ht="15" hidden="false" customHeight="false" outlineLevel="0" collapsed="false">
      <c r="A5" s="3" t="s">
        <v>459</v>
      </c>
      <c r="B5" s="3" t="s">
        <v>460</v>
      </c>
      <c r="D5" s="9" t="s">
        <v>461</v>
      </c>
      <c r="E5" s="9"/>
      <c r="F5" s="9"/>
      <c r="G5" s="9"/>
      <c r="H5" s="9"/>
    </row>
    <row r="6" customFormat="false" ht="15" hidden="false" customHeight="false" outlineLevel="0" collapsed="false">
      <c r="A6" s="4" t="s">
        <v>462</v>
      </c>
      <c r="B6" s="4" t="n">
        <f aca="false">COUNTA(Controls!A2:A18)</f>
        <v>17</v>
      </c>
      <c r="D6" s="10" t="s">
        <v>463</v>
      </c>
      <c r="E6" s="4" t="s">
        <v>464</v>
      </c>
    </row>
    <row r="7" customFormat="false" ht="15" hidden="false" customHeight="false" outlineLevel="0" collapsed="false">
      <c r="A7" s="4" t="s">
        <v>465</v>
      </c>
      <c r="B7" s="4" t="n">
        <f aca="false">COUNTA(Dependencies!A2:A49)</f>
        <v>48</v>
      </c>
      <c r="D7" s="10" t="s">
        <v>466</v>
      </c>
      <c r="E7" s="4" t="s">
        <v>467</v>
      </c>
    </row>
    <row r="8" customFormat="false" ht="15" hidden="false" customHeight="false" outlineLevel="0" collapsed="false">
      <c r="A8" s="4" t="s">
        <v>468</v>
      </c>
      <c r="B8" s="4" t="n">
        <f aca="false">COUNTA('Dependency Groups'!A2:A4)</f>
        <v>3</v>
      </c>
      <c r="D8" s="10" t="s">
        <v>2</v>
      </c>
      <c r="E8" s="4" t="s">
        <v>469</v>
      </c>
    </row>
    <row r="9" customFormat="false" ht="15" hidden="false" customHeight="false" outlineLevel="0" collapsed="false">
      <c r="A9" s="4" t="s">
        <v>470</v>
      </c>
      <c r="B9" s="4" t="n">
        <f aca="false">COUNTA(Evidence!A2:A23)</f>
        <v>22</v>
      </c>
      <c r="D9" s="10" t="s">
        <v>3</v>
      </c>
      <c r="E9" s="4" t="s">
        <v>471</v>
      </c>
    </row>
    <row r="10" customFormat="false" ht="15" hidden="false" customHeight="false" outlineLevel="0" collapsed="false">
      <c r="D10" s="10" t="s">
        <v>472</v>
      </c>
      <c r="E10" s="4" t="s">
        <v>473</v>
      </c>
    </row>
    <row r="11" customFormat="false" ht="15" hidden="false" customHeight="false" outlineLevel="0" collapsed="false">
      <c r="D11" s="10" t="s">
        <v>474</v>
      </c>
      <c r="E11" s="4" t="s">
        <v>475</v>
      </c>
    </row>
    <row r="12" customFormat="false" ht="13.8" hidden="false" customHeight="false" outlineLevel="0" collapsed="false">
      <c r="A12" s="9" t="s">
        <v>476</v>
      </c>
      <c r="B12" s="9"/>
      <c r="C12" s="9"/>
      <c r="D12" s="9" t="s">
        <v>1</v>
      </c>
      <c r="E12" s="9" t="s">
        <v>477</v>
      </c>
      <c r="F12" s="9"/>
      <c r="G12" s="9"/>
      <c r="H12" s="9"/>
    </row>
    <row r="13" customFormat="false" ht="23.85" hidden="false" customHeight="false" outlineLevel="0" collapsed="false">
      <c r="A13" s="10" t="s">
        <v>478</v>
      </c>
      <c r="B13" s="4" t="s">
        <v>479</v>
      </c>
      <c r="D13" s="10" t="s">
        <v>480</v>
      </c>
      <c r="E13" s="4" t="s">
        <v>481</v>
      </c>
    </row>
    <row r="14" customFormat="false" ht="23.85" hidden="false" customHeight="false" outlineLevel="0" collapsed="false">
      <c r="A14" s="10" t="s">
        <v>482</v>
      </c>
      <c r="B14" s="4" t="s">
        <v>483</v>
      </c>
    </row>
    <row r="15" customFormat="false" ht="13.8" hidden="false" customHeight="false" outlineLevel="0" collapsed="false">
      <c r="A15" s="10" t="s">
        <v>29</v>
      </c>
      <c r="B15" s="4" t="s">
        <v>484</v>
      </c>
    </row>
    <row r="16" customFormat="false" ht="23.85" hidden="false" customHeight="false" outlineLevel="0" collapsed="false">
      <c r="A16" s="10" t="s">
        <v>485</v>
      </c>
      <c r="B16" s="4" t="s">
        <v>486</v>
      </c>
    </row>
    <row r="17" customFormat="false" ht="23.85" hidden="false" customHeight="false" outlineLevel="0" collapsed="false">
      <c r="A17" s="10" t="s">
        <v>487</v>
      </c>
      <c r="B17" s="4" t="s">
        <v>488</v>
      </c>
    </row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3.8" hidden="false" customHeight="false" outlineLevel="0" collapsed="false">
      <c r="A20" s="9" t="s">
        <v>489</v>
      </c>
      <c r="B20" s="9"/>
      <c r="C20" s="9"/>
      <c r="D20" s="9"/>
      <c r="E20" s="9"/>
      <c r="F20" s="9"/>
      <c r="G20" s="9"/>
      <c r="H20" s="9"/>
    </row>
    <row r="21" customFormat="false" ht="13.8" hidden="false" customHeight="false" outlineLevel="0" collapsed="false">
      <c r="A21" s="10" t="s">
        <v>490</v>
      </c>
      <c r="B21" s="4" t="s">
        <v>491</v>
      </c>
    </row>
    <row r="22" customFormat="false" ht="23.85" hidden="false" customHeight="false" outlineLevel="0" collapsed="false">
      <c r="A22" s="10" t="s">
        <v>492</v>
      </c>
      <c r="B22" s="4" t="s">
        <v>493</v>
      </c>
    </row>
    <row r="23" customFormat="false" ht="13.8" hidden="false" customHeight="false" outlineLevel="0" collapsed="false">
      <c r="A23" s="10" t="s">
        <v>494</v>
      </c>
      <c r="B23" s="4" t="s">
        <v>495</v>
      </c>
    </row>
    <row r="24" customFormat="false" ht="23.85" hidden="false" customHeight="false" outlineLevel="0" collapsed="false">
      <c r="A24" s="10" t="s">
        <v>496</v>
      </c>
      <c r="B24" s="4" t="s">
        <v>497</v>
      </c>
    </row>
    <row r="25" customFormat="false" ht="23.85" hidden="false" customHeight="false" outlineLevel="0" collapsed="false">
      <c r="A25" s="10" t="s">
        <v>498</v>
      </c>
      <c r="B25" s="4" t="s">
        <v>499</v>
      </c>
    </row>
    <row r="26" customFormat="false" ht="23.85" hidden="false" customHeight="false" outlineLevel="0" collapsed="false">
      <c r="A26" s="10" t="s">
        <v>500</v>
      </c>
      <c r="B26" s="4" t="s">
        <v>501</v>
      </c>
    </row>
    <row r="27" customFormat="false" ht="12.8" hidden="false" customHeight="false" outlineLevel="0" collapsed="false"/>
  </sheetData>
  <mergeCells count="5">
    <mergeCell ref="A1:H2"/>
    <mergeCell ref="A3:H3"/>
    <mergeCell ref="D5:H5"/>
    <mergeCell ref="A12:H12"/>
    <mergeCell ref="A20:H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lv-LV</dc:language>
  <cp:lastModifiedBy/>
  <dcterms:modified xsi:type="dcterms:W3CDTF">2026-07-23T03:41:38Z</dcterms:modified>
  <cp:revision>1</cp:revision>
  <dc:subject/>
  <dc:title/>
</cp:coreProperties>
</file>